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bmahardja_usbr_gov/Documents/Documents/GitHub/DeltaSmelt_LCM/DeltaSmeltLCME_output/"/>
    </mc:Choice>
  </mc:AlternateContent>
  <xr:revisionPtr revIDLastSave="0" documentId="8_{C47A6635-15B1-4DB5-B836-E5A37C8D7A4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lSim flow actions" sheetId="3" r:id="rId1"/>
    <sheet name="Sheet1" sheetId="4" r:id="rId2"/>
  </sheets>
  <definedNames>
    <definedName name="asd" localSheetId="0">'CalSim flow actions'!#REF!</definedName>
    <definedName name="asd_23" localSheetId="0">'CalSim flow actions'!#REF!</definedName>
    <definedName name="lam_base10" localSheetId="0">'CalSim flow actions'!#REF!</definedName>
    <definedName name="lam_base5" localSheetId="0">'CalSim flow actions'!#REF!</definedName>
    <definedName name="lam_base7" localSheetId="0">'CalSim flow actions'!#REF!</definedName>
    <definedName name="lam_base8" localSheetId="0">'CalSim flow actions'!#REF!</definedName>
    <definedName name="lam_base9" localSheetId="0">'CalSim flow actions'!#REF!</definedName>
    <definedName name="lam_summary_base10" localSheetId="0">'CalSim flow actions'!#REF!</definedName>
    <definedName name="lam_summary_base5" localSheetId="0">'CalSim flow actions'!#REF!</definedName>
    <definedName name="lam_summary_base7" localSheetId="0">'CalSim flow actions'!#REF!</definedName>
    <definedName name="lam_summary_base8" localSheetId="0">'CalSim flow actions'!#REF!</definedName>
    <definedName name="lam_summary_base9" localSheetId="0">'CalSim flow actions'!#REF!</definedName>
    <definedName name="lamAB_base2" localSheetId="0">'CalSim flow actions'!#REF!</definedName>
    <definedName name="lamAB_base3" localSheetId="0">'CalSim flow actions'!#REF!</definedName>
    <definedName name="lamAB_base4" localSheetId="0">'CalSim flow actions'!#REF!</definedName>
    <definedName name="lamAB_base5" localSheetId="0">'CalSim flow actions'!#REF!</definedName>
    <definedName name="lamAB_NDFS" localSheetId="0">'CalSim flow actions'!#REF!</definedName>
    <definedName name="lamAB_noX2" localSheetId="0">'CalSim flow actions'!#REF!</definedName>
    <definedName name="lamAB_OMR_Port1a" localSheetId="0">'CalSim flow actions'!#REF!</definedName>
    <definedName name="lamAB_OMR_Port1a_1" localSheetId="0">'CalSim flow actions'!#REF!</definedName>
    <definedName name="lamAB_OMR_Port1b" localSheetId="0">'CalSim flow actions'!#REF!</definedName>
    <definedName name="lamAB_Port1a" localSheetId="0">'CalSim flow actions'!#REF!</definedName>
    <definedName name="lamAB_Port1b" localSheetId="0">'CalSim flow actions'!#REF!</definedName>
    <definedName name="lamAB_SMSCG" localSheetId="0">'CalSim flow actions'!#REF!</definedName>
    <definedName name="lamAB_Wetlands_1_hi" localSheetId="0">'CalSim flow actions'!#REF!</definedName>
    <definedName name="lamAB_Wetlands_2_hi" localSheetId="0">'CalSim flow actions'!#REF!</definedName>
    <definedName name="lamAB_Wetlands_2_hi_temp" localSheetId="0">'CalSim flow actions'!#REF!</definedName>
    <definedName name="lamAB_Wetlands_2_low" localSheetId="0">'CalSim flow actions'!#REF!</definedName>
    <definedName name="lamAB_X22008" localSheetId="0">'CalSim flow actions'!#REF!</definedName>
    <definedName name="lamAB_X22020" localSheetId="0">'CalSim flow actions'!#REF!</definedName>
    <definedName name="lamABmn_base2" localSheetId="0">'CalSim flow actions'!#REF!</definedName>
    <definedName name="lamABmn_base3" localSheetId="0">'CalSim flow actions'!#REF!</definedName>
    <definedName name="lamABmn_base4" localSheetId="0">'CalSim flow actions'!#REF!</definedName>
    <definedName name="lamABmn_base5" localSheetId="0">'CalSim flow actions'!#REF!</definedName>
    <definedName name="lamABmn_NDFS" localSheetId="0">'CalSim flow actions'!#REF!</definedName>
    <definedName name="lamABmn_noX2" localSheetId="0">'CalSim flow actions'!#REF!</definedName>
    <definedName name="lamABmn_noX2_1" localSheetId="0">'CalSim flow actions'!#REF!</definedName>
    <definedName name="lamABmn_OMR_Port1a" localSheetId="0">'CalSim flow actions'!#REF!</definedName>
    <definedName name="lamABmn_OMR_Port1a_1" localSheetId="0">'CalSim flow actions'!#REF!</definedName>
    <definedName name="lamABmn_OMR_Port1b" localSheetId="0">'CalSim flow actions'!#REF!</definedName>
    <definedName name="lamABmn_Port1a" localSheetId="0">'CalSim flow actions'!#REF!</definedName>
    <definedName name="lamABmn_Port1b" localSheetId="0">'CalSim flow actions'!#REF!</definedName>
    <definedName name="lamABmn_SMSCG" localSheetId="0">'CalSim flow actions'!#REF!</definedName>
    <definedName name="lamABmn_Wetlands_1_hi" localSheetId="0">'CalSim flow actions'!#REF!</definedName>
    <definedName name="lamABmn_Wetlands_2_hi" localSheetId="0">'CalSim flow actions'!#REF!</definedName>
    <definedName name="lamABmn_Wetlands_2_hi_temp" localSheetId="0">'CalSim flow actions'!#REF!</definedName>
    <definedName name="lamABmn_Wetlands_2_low" localSheetId="0">'CalSim flow actions'!#REF!</definedName>
    <definedName name="lamABmn_X22008" localSheetId="0">'CalSim flow actions'!#REF!</definedName>
    <definedName name="lamABmn_X22008_1" localSheetId="0">'CalSim flow actions'!#REF!</definedName>
    <definedName name="lamABmn_X22020" localSheetId="0">'CalSim flow actions'!#REF!</definedName>
    <definedName name="LCME_lamAB_base" localSheetId="0">'CalSim flow actions'!#REF!</definedName>
    <definedName name="LCME_lamAB_base_1" localSheetId="0">'CalSim flow actions'!#REF!</definedName>
    <definedName name="LCME_lamAB_base_2" localSheetId="0">'CalSim flow actions'!#REF!</definedName>
    <definedName name="LCME_lamAB_SummerX2_1_BN" localSheetId="0">'CalSim flow actions'!#REF!</definedName>
    <definedName name="LCME_lamAB_SummerX2_2_BN" localSheetId="0">'CalSim flow actions'!#REF!</definedName>
    <definedName name="LCME_lamAB_SummerX2_3_BN" localSheetId="0">'CalSim flow actions'!#REF!</definedName>
    <definedName name="LCME_lamAB_SummerX2_3_BN_1" localSheetId="0">'CalSim flow actions'!#REF!</definedName>
    <definedName name="LCME_lamAB_SummerX2_high_BN" localSheetId="0">'CalSim flow actions'!#REF!</definedName>
    <definedName name="LCME_lamAB_SummerX2_low_BN" localSheetId="0">'CalSim flow actions'!#REF!</definedName>
    <definedName name="LCME_lamAB_SummerX2_low_BN_1" localSheetId="0">'CalSim flow actions'!#REF!</definedName>
    <definedName name="LCME_lamABmn_base" localSheetId="0">'CalSim flow actions'!#REF!</definedName>
    <definedName name="LCME_lamABmn_base_1" localSheetId="0">'CalSim flow actions'!#REF!</definedName>
    <definedName name="LCME_lamABmn_SummerX2_1_BN" localSheetId="0">'CalSim flow actions'!#REF!</definedName>
    <definedName name="LCME_lamABmn_SummerX2_2_BN" localSheetId="0">'CalSim flow actions'!#REF!</definedName>
    <definedName name="LCME_lamABmn_SummerX2_3_BN" localSheetId="0">'CalSim flow actions'!#REF!</definedName>
    <definedName name="LCME_lamABmn_SummerX2_high_BN" localSheetId="0">'CalSim flow actions'!#REF!</definedName>
    <definedName name="LCME_lamABmn_SummerX2_high_BN_1" localSheetId="0">'CalSim flow actions'!#REF!</definedName>
    <definedName name="LCME_lamABmn_SummerX2_low_BN" localSheetId="0">'CalSim flow actions'!#REF!</definedName>
    <definedName name="LCME_lamABmn_SummerX2_low_BN_1" localSheetId="0">'CalSim flow actions'!#REF!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4" l="1"/>
  <c r="D8" i="4"/>
  <c r="E8" i="4"/>
  <c r="F8" i="4"/>
  <c r="G8" i="4"/>
  <c r="H8" i="4"/>
  <c r="I8" i="4"/>
  <c r="J8" i="4"/>
  <c r="K8" i="4"/>
  <c r="L8" i="4"/>
  <c r="M8" i="4"/>
  <c r="B8" i="4"/>
  <c r="C7" i="4"/>
  <c r="D7" i="4"/>
  <c r="E7" i="4"/>
  <c r="F7" i="4"/>
  <c r="G7" i="4"/>
  <c r="H7" i="4"/>
  <c r="I7" i="4"/>
  <c r="J7" i="4"/>
  <c r="K7" i="4"/>
  <c r="L7" i="4"/>
  <c r="M7" i="4"/>
  <c r="B7" i="4"/>
  <c r="C6" i="4"/>
  <c r="D6" i="4"/>
  <c r="E6" i="4"/>
  <c r="F6" i="4"/>
  <c r="G6" i="4"/>
  <c r="H6" i="4"/>
  <c r="I6" i="4"/>
  <c r="J6" i="4"/>
  <c r="K6" i="4"/>
  <c r="L6" i="4"/>
  <c r="M6" i="4"/>
  <c r="B6" i="4"/>
  <c r="W25" i="3"/>
  <c r="W26" i="3"/>
  <c r="W27" i="3"/>
  <c r="W28" i="3"/>
  <c r="W29" i="3"/>
  <c r="W30" i="3"/>
  <c r="V4" i="3"/>
  <c r="W4" i="3"/>
  <c r="V5" i="3"/>
  <c r="W5" i="3"/>
  <c r="V6" i="3"/>
  <c r="W6" i="3"/>
  <c r="V7" i="3"/>
  <c r="W7" i="3"/>
  <c r="V8" i="3"/>
  <c r="W8" i="3"/>
  <c r="V9" i="3"/>
  <c r="W9" i="3"/>
  <c r="V10" i="3"/>
  <c r="W10" i="3"/>
  <c r="V11" i="3"/>
  <c r="W11" i="3"/>
  <c r="V12" i="3"/>
  <c r="W12" i="3"/>
  <c r="V13" i="3"/>
  <c r="W13" i="3"/>
  <c r="V14" i="3"/>
  <c r="W14" i="3"/>
  <c r="V15" i="3"/>
  <c r="W15" i="3"/>
  <c r="V16" i="3"/>
  <c r="W16" i="3"/>
  <c r="V17" i="3"/>
  <c r="W17" i="3"/>
  <c r="V18" i="3"/>
  <c r="W18" i="3"/>
  <c r="V19" i="3"/>
  <c r="W19" i="3"/>
  <c r="V20" i="3"/>
  <c r="W20" i="3"/>
  <c r="V21" i="3"/>
  <c r="W21" i="3"/>
  <c r="V22" i="3"/>
  <c r="W22" i="3"/>
  <c r="V23" i="3"/>
  <c r="W23" i="3"/>
  <c r="W3" i="3"/>
  <c r="X3" i="3"/>
  <c r="P26" i="3"/>
  <c r="Q26" i="3"/>
  <c r="R26" i="3"/>
  <c r="S26" i="3"/>
  <c r="T26" i="3"/>
  <c r="U26" i="3"/>
  <c r="V26" i="3"/>
  <c r="X26" i="3"/>
  <c r="Y26" i="3"/>
  <c r="P27" i="3"/>
  <c r="Q27" i="3"/>
  <c r="R27" i="3"/>
  <c r="S27" i="3"/>
  <c r="T27" i="3"/>
  <c r="U27" i="3"/>
  <c r="V27" i="3"/>
  <c r="X27" i="3"/>
  <c r="Y27" i="3"/>
  <c r="P28" i="3"/>
  <c r="Q28" i="3"/>
  <c r="R28" i="3"/>
  <c r="S28" i="3"/>
  <c r="T28" i="3"/>
  <c r="U28" i="3"/>
  <c r="V28" i="3"/>
  <c r="X28" i="3"/>
  <c r="Y28" i="3"/>
  <c r="P29" i="3"/>
  <c r="Q29" i="3"/>
  <c r="R29" i="3"/>
  <c r="S29" i="3"/>
  <c r="T29" i="3"/>
  <c r="U29" i="3"/>
  <c r="V29" i="3"/>
  <c r="X29" i="3"/>
  <c r="Y29" i="3"/>
  <c r="P30" i="3"/>
  <c r="Q30" i="3"/>
  <c r="R30" i="3"/>
  <c r="S30" i="3"/>
  <c r="T30" i="3"/>
  <c r="U30" i="3"/>
  <c r="V30" i="3"/>
  <c r="X30" i="3"/>
  <c r="Y30" i="3"/>
  <c r="Q25" i="3"/>
  <c r="R25" i="3"/>
  <c r="S25" i="3"/>
  <c r="T25" i="3"/>
  <c r="U25" i="3"/>
  <c r="V25" i="3"/>
  <c r="X25" i="3"/>
  <c r="Y25" i="3"/>
  <c r="P25" i="3"/>
  <c r="P4" i="3"/>
  <c r="Q4" i="3"/>
  <c r="R4" i="3"/>
  <c r="S4" i="3"/>
  <c r="T4" i="3"/>
  <c r="U4" i="3"/>
  <c r="X4" i="3"/>
  <c r="Y4" i="3"/>
  <c r="P5" i="3"/>
  <c r="Q5" i="3"/>
  <c r="R5" i="3"/>
  <c r="S5" i="3"/>
  <c r="T5" i="3"/>
  <c r="U5" i="3"/>
  <c r="X5" i="3"/>
  <c r="Y5" i="3"/>
  <c r="P6" i="3"/>
  <c r="Q6" i="3"/>
  <c r="R6" i="3"/>
  <c r="S6" i="3"/>
  <c r="T6" i="3"/>
  <c r="U6" i="3"/>
  <c r="X6" i="3"/>
  <c r="Y6" i="3"/>
  <c r="P7" i="3"/>
  <c r="Q7" i="3"/>
  <c r="R7" i="3"/>
  <c r="S7" i="3"/>
  <c r="T7" i="3"/>
  <c r="U7" i="3"/>
  <c r="X7" i="3"/>
  <c r="Y7" i="3"/>
  <c r="P8" i="3"/>
  <c r="Q8" i="3"/>
  <c r="R8" i="3"/>
  <c r="S8" i="3"/>
  <c r="T8" i="3"/>
  <c r="U8" i="3"/>
  <c r="X8" i="3"/>
  <c r="Y8" i="3"/>
  <c r="P9" i="3"/>
  <c r="Q9" i="3"/>
  <c r="R9" i="3"/>
  <c r="S9" i="3"/>
  <c r="T9" i="3"/>
  <c r="U9" i="3"/>
  <c r="X9" i="3"/>
  <c r="Y9" i="3"/>
  <c r="P10" i="3"/>
  <c r="Q10" i="3"/>
  <c r="R10" i="3"/>
  <c r="S10" i="3"/>
  <c r="T10" i="3"/>
  <c r="U10" i="3"/>
  <c r="X10" i="3"/>
  <c r="Y10" i="3"/>
  <c r="P11" i="3"/>
  <c r="Q11" i="3"/>
  <c r="R11" i="3"/>
  <c r="S11" i="3"/>
  <c r="T11" i="3"/>
  <c r="U11" i="3"/>
  <c r="X11" i="3"/>
  <c r="Y11" i="3"/>
  <c r="P12" i="3"/>
  <c r="Q12" i="3"/>
  <c r="R12" i="3"/>
  <c r="S12" i="3"/>
  <c r="T12" i="3"/>
  <c r="U12" i="3"/>
  <c r="X12" i="3"/>
  <c r="Y12" i="3"/>
  <c r="P13" i="3"/>
  <c r="Q13" i="3"/>
  <c r="R13" i="3"/>
  <c r="S13" i="3"/>
  <c r="T13" i="3"/>
  <c r="U13" i="3"/>
  <c r="X13" i="3"/>
  <c r="Y13" i="3"/>
  <c r="P14" i="3"/>
  <c r="Q14" i="3"/>
  <c r="R14" i="3"/>
  <c r="S14" i="3"/>
  <c r="T14" i="3"/>
  <c r="U14" i="3"/>
  <c r="X14" i="3"/>
  <c r="Y14" i="3"/>
  <c r="P15" i="3"/>
  <c r="Q15" i="3"/>
  <c r="R15" i="3"/>
  <c r="S15" i="3"/>
  <c r="T15" i="3"/>
  <c r="U15" i="3"/>
  <c r="X15" i="3"/>
  <c r="Y15" i="3"/>
  <c r="P16" i="3"/>
  <c r="Q16" i="3"/>
  <c r="R16" i="3"/>
  <c r="S16" i="3"/>
  <c r="T16" i="3"/>
  <c r="U16" i="3"/>
  <c r="X16" i="3"/>
  <c r="Y16" i="3"/>
  <c r="P17" i="3"/>
  <c r="Q17" i="3"/>
  <c r="R17" i="3"/>
  <c r="S17" i="3"/>
  <c r="T17" i="3"/>
  <c r="U17" i="3"/>
  <c r="X17" i="3"/>
  <c r="Y17" i="3"/>
  <c r="P18" i="3"/>
  <c r="Q18" i="3"/>
  <c r="R18" i="3"/>
  <c r="S18" i="3"/>
  <c r="T18" i="3"/>
  <c r="U18" i="3"/>
  <c r="X18" i="3"/>
  <c r="Y18" i="3"/>
  <c r="P19" i="3"/>
  <c r="Q19" i="3"/>
  <c r="R19" i="3"/>
  <c r="S19" i="3"/>
  <c r="T19" i="3"/>
  <c r="U19" i="3"/>
  <c r="X19" i="3"/>
  <c r="Y19" i="3"/>
  <c r="P20" i="3"/>
  <c r="Q20" i="3"/>
  <c r="R20" i="3"/>
  <c r="S20" i="3"/>
  <c r="T20" i="3"/>
  <c r="U20" i="3"/>
  <c r="X20" i="3"/>
  <c r="Y20" i="3"/>
  <c r="P21" i="3"/>
  <c r="Q21" i="3"/>
  <c r="R21" i="3"/>
  <c r="S21" i="3"/>
  <c r="T21" i="3"/>
  <c r="U21" i="3"/>
  <c r="X21" i="3"/>
  <c r="Y21" i="3"/>
  <c r="P22" i="3"/>
  <c r="Q22" i="3"/>
  <c r="R22" i="3"/>
  <c r="S22" i="3"/>
  <c r="T22" i="3"/>
  <c r="U22" i="3"/>
  <c r="X22" i="3"/>
  <c r="Y22" i="3"/>
  <c r="P23" i="3"/>
  <c r="Q23" i="3"/>
  <c r="R23" i="3"/>
  <c r="S23" i="3"/>
  <c r="T23" i="3"/>
  <c r="U23" i="3"/>
  <c r="X23" i="3"/>
  <c r="Y23" i="3"/>
  <c r="Q3" i="3"/>
  <c r="R3" i="3"/>
  <c r="S3" i="3"/>
  <c r="T3" i="3"/>
  <c r="U3" i="3"/>
  <c r="V3" i="3"/>
  <c r="Y3" i="3"/>
  <c r="P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5000000}" name="asd122" type="6" refreshedVersion="6" background="1" saveData="1">
    <textPr codePage="437" sourceFile="C:\Users\wsmith\Desktop\asd.txt" space="1" consecutive="1">
      <textFields count="3">
        <textField/>
        <textField/>
        <textField/>
      </textFields>
    </textPr>
  </connection>
  <connection id="2" xr16:uid="{00000000-0015-0000-FFFF-FFFF06000000}" name="asd123" type="6" refreshedVersion="6" background="1" saveData="1">
    <textPr codePage="437" sourceFile="C:\Users\wsmith\Desktop\asd.txt" space="1" consecutive="1">
      <textFields count="3">
        <textField/>
        <textField/>
        <textField/>
      </textFields>
    </textPr>
  </connection>
  <connection id="3" xr16:uid="{A2ECFE6A-9902-4FFD-B9EB-09D177A897DB}" keepAlive="1" name="Query - asd" description="Connection to the 'asd' query in the workbook." type="5" refreshedVersion="0" background="1">
    <dbPr connection="Provider=Microsoft.Mashup.OleDb.1;Data Source=$Workbook$;Location=asd;Extended Properties=&quot;&quot;" command="SELECT * FROM [asd]"/>
  </connection>
  <connection id="4" xr16:uid="{94A6CFAA-D0C0-4F16-9278-89C7E6E7981B}" keepAlive="1" name="Query - asd (10)" description="Connection to the 'asd (10)' query in the workbook." type="5" refreshedVersion="0" background="1">
    <dbPr connection="Provider=Microsoft.Mashup.OleDb.1;Data Source=$Workbook$;Location=&quot;asd (10)&quot;;Extended Properties=&quot;&quot;" command="SELECT * FROM [asd (10)]"/>
  </connection>
  <connection id="5" xr16:uid="{AE48EAF1-7E5B-4195-81F6-2205ED837388}" keepAlive="1" name="Query - asd (11)" description="Connection to the 'asd (11)' query in the workbook." type="5" refreshedVersion="0" background="1">
    <dbPr connection="Provider=Microsoft.Mashup.OleDb.1;Data Source=$Workbook$;Location=&quot;asd (11)&quot;;Extended Properties=&quot;&quot;" command="SELECT * FROM [asd (11)]"/>
  </connection>
  <connection id="6" xr16:uid="{5FC07463-A09A-49BF-ADA7-4B181162250E}" keepAlive="1" name="Query - asd (12)" description="Connection to the 'asd (12)' query in the workbook." type="5" refreshedVersion="0" background="1">
    <dbPr connection="Provider=Microsoft.Mashup.OleDb.1;Data Source=$Workbook$;Location=&quot;asd (12)&quot;;Extended Properties=&quot;&quot;" command="SELECT * FROM [asd (12)]"/>
  </connection>
  <connection id="7" xr16:uid="{AF5C60E4-25D4-4E73-8584-52BCEA5BF654}" keepAlive="1" name="Query - asd (13)" description="Connection to the 'asd (13)' query in the workbook." type="5" refreshedVersion="0" background="1">
    <dbPr connection="Provider=Microsoft.Mashup.OleDb.1;Data Source=$Workbook$;Location=&quot;asd (13)&quot;;Extended Properties=&quot;&quot;" command="SELECT * FROM [asd (13)]"/>
  </connection>
  <connection id="8" xr16:uid="{36EEA1D4-8180-46B2-9D8B-EEFEAB32F2E5}" keepAlive="1" name="Query - asd (14)" description="Connection to the 'asd (14)' query in the workbook." type="5" refreshedVersion="0" background="1">
    <dbPr connection="Provider=Microsoft.Mashup.OleDb.1;Data Source=$Workbook$;Location=&quot;asd (14)&quot;;Extended Properties=&quot;&quot;" command="SELECT * FROM [asd (14)]"/>
  </connection>
  <connection id="9" xr16:uid="{F160EBF4-3EB0-4297-AADC-0D9B20549EFE}" keepAlive="1" name="Query - asd (15)" description="Connection to the 'asd (15)' query in the workbook." type="5" refreshedVersion="0" background="1">
    <dbPr connection="Provider=Microsoft.Mashup.OleDb.1;Data Source=$Workbook$;Location=&quot;asd (15)&quot;;Extended Properties=&quot;&quot;" command="SELECT * FROM [asd (15)]"/>
  </connection>
  <connection id="10" xr16:uid="{2ADB9A76-1798-4C62-938C-1E70554E6F0D}" keepAlive="1" name="Query - asd (16)" description="Connection to the 'asd (16)' query in the workbook." type="5" refreshedVersion="0" background="1">
    <dbPr connection="Provider=Microsoft.Mashup.OleDb.1;Data Source=$Workbook$;Location=&quot;asd (16)&quot;;Extended Properties=&quot;&quot;" command="SELECT * FROM [asd (16)]"/>
  </connection>
  <connection id="11" xr16:uid="{47FDC1CB-AD65-479C-B4DC-17F29A805E20}" keepAlive="1" name="Query - asd (17)" description="Connection to the 'asd (17)' query in the workbook." type="5" refreshedVersion="0" background="1">
    <dbPr connection="Provider=Microsoft.Mashup.OleDb.1;Data Source=$Workbook$;Location=&quot;asd (17)&quot;;Extended Properties=&quot;&quot;" command="SELECT * FROM [asd (17)]"/>
  </connection>
  <connection id="12" xr16:uid="{99ACD2E3-502B-4C4E-8601-E6D6B82A96DB}" keepAlive="1" name="Query - asd (18)" description="Connection to the 'asd (18)' query in the workbook." type="5" refreshedVersion="0" background="1">
    <dbPr connection="Provider=Microsoft.Mashup.OleDb.1;Data Source=$Workbook$;Location=&quot;asd (18)&quot;;Extended Properties=&quot;&quot;" command="SELECT * FROM [asd (18)]"/>
  </connection>
  <connection id="13" xr16:uid="{FA8DA8ED-4F0B-4E16-8E1D-BE34B3A1A8F5}" keepAlive="1" name="Query - asd (19)" description="Connection to the 'asd (19)' query in the workbook." type="5" refreshedVersion="0" background="1">
    <dbPr connection="Provider=Microsoft.Mashup.OleDb.1;Data Source=$Workbook$;Location=&quot;asd (19)&quot;;Extended Properties=&quot;&quot;" command="SELECT * FROM [asd (19)]"/>
  </connection>
  <connection id="14" xr16:uid="{8C085A28-76C8-47CF-A5D6-A1E6BFAE4511}" keepAlive="1" name="Query - asd (2)" description="Connection to the 'asd (2)' query in the workbook." type="5" refreshedVersion="0" background="1">
    <dbPr connection="Provider=Microsoft.Mashup.OleDb.1;Data Source=$Workbook$;Location=&quot;asd (2)&quot;;Extended Properties=&quot;&quot;" command="SELECT * FROM [asd (2)]"/>
  </connection>
  <connection id="15" xr16:uid="{A77BAE01-EB11-445A-A8A8-69972F48F1AB}" keepAlive="1" name="Query - asd (20)" description="Connection to the 'asd (20)' query in the workbook." type="5" refreshedVersion="0" background="1">
    <dbPr connection="Provider=Microsoft.Mashup.OleDb.1;Data Source=$Workbook$;Location=&quot;asd (20)&quot;;Extended Properties=&quot;&quot;" command="SELECT * FROM [asd (20)]"/>
  </connection>
  <connection id="16" xr16:uid="{B202FA26-249E-486D-99EF-3F366E74C1AC}" keepAlive="1" name="Query - asd (21)" description="Connection to the 'asd (21)' query in the workbook." type="5" refreshedVersion="0" background="1">
    <dbPr connection="Provider=Microsoft.Mashup.OleDb.1;Data Source=$Workbook$;Location=&quot;asd (21)&quot;;Extended Properties=&quot;&quot;" command="SELECT * FROM [asd (21)]"/>
  </connection>
  <connection id="17" xr16:uid="{D5E72EE8-CC64-433C-8287-FCBEC76B60A7}" keepAlive="1" name="Query - asd (22)" description="Connection to the 'asd (22)' query in the workbook." type="5" refreshedVersion="0" background="1">
    <dbPr connection="Provider=Microsoft.Mashup.OleDb.1;Data Source=$Workbook$;Location=&quot;asd (22)&quot;;Extended Properties=&quot;&quot;" command="SELECT * FROM [asd (22)]"/>
  </connection>
  <connection id="18" xr16:uid="{84815BCF-DB3A-4D89-BCE9-C19F5C353ED8}" keepAlive="1" name="Query - asd (23)" description="Connection to the 'asd (23)' query in the workbook." type="5" refreshedVersion="0" background="1">
    <dbPr connection="Provider=Microsoft.Mashup.OleDb.1;Data Source=$Workbook$;Location=&quot;asd (23)&quot;;Extended Properties=&quot;&quot;" command="SELECT * FROM [asd (23)]"/>
  </connection>
  <connection id="19" xr16:uid="{2783ADF1-B09F-4CB8-92E9-4F83DA651A4D}" keepAlive="1" name="Query - asd (24)" description="Connection to the 'asd (24)' query in the workbook." type="5" refreshedVersion="0" background="1">
    <dbPr connection="Provider=Microsoft.Mashup.OleDb.1;Data Source=$Workbook$;Location=&quot;asd (24)&quot;;Extended Properties=&quot;&quot;" command="SELECT * FROM [asd (24)]"/>
  </connection>
  <connection id="20" xr16:uid="{3A12F223-CFCC-44E4-B2E8-D6C828A48C52}" keepAlive="1" name="Query - asd (25)" description="Connection to the 'asd (25)' query in the workbook." type="5" refreshedVersion="0" background="1">
    <dbPr connection="Provider=Microsoft.Mashup.OleDb.1;Data Source=$Workbook$;Location=&quot;asd (25)&quot;;Extended Properties=&quot;&quot;" command="SELECT * FROM [asd (25)]"/>
  </connection>
  <connection id="21" xr16:uid="{A30E7361-B5A6-4316-8085-E97F2C790EB3}" keepAlive="1" name="Query - asd (26)" description="Connection to the 'asd (26)' query in the workbook." type="5" refreshedVersion="0" background="1">
    <dbPr connection="Provider=Microsoft.Mashup.OleDb.1;Data Source=$Workbook$;Location=&quot;asd (26)&quot;;Extended Properties=&quot;&quot;" command="SELECT * FROM [asd (26)]"/>
  </connection>
  <connection id="22" xr16:uid="{B2E185AF-2E1F-40FC-8191-EC43DDB9254E}" keepAlive="1" name="Query - asd (3)" description="Connection to the 'asd (3)' query in the workbook." type="5" refreshedVersion="0" background="1">
    <dbPr connection="Provider=Microsoft.Mashup.OleDb.1;Data Source=$Workbook$;Location=&quot;asd (3)&quot;;Extended Properties=&quot;&quot;" command="SELECT * FROM [asd (3)]"/>
  </connection>
  <connection id="23" xr16:uid="{A2DD5554-C077-4E81-8FBC-E1BFE1EA0D22}" keepAlive="1" name="Query - asd (4)" description="Connection to the 'asd (4)' query in the workbook." type="5" refreshedVersion="0" background="1">
    <dbPr connection="Provider=Microsoft.Mashup.OleDb.1;Data Source=$Workbook$;Location=&quot;asd (4)&quot;;Extended Properties=&quot;&quot;" command="SELECT * FROM [asd (4)]"/>
  </connection>
  <connection id="24" xr16:uid="{B9DFF24B-12C6-426A-9F05-9933340B9EE5}" keepAlive="1" name="Query - asd (5)" description="Connection to the 'asd (5)' query in the workbook." type="5" refreshedVersion="0" background="1">
    <dbPr connection="Provider=Microsoft.Mashup.OleDb.1;Data Source=$Workbook$;Location=&quot;asd (5)&quot;;Extended Properties=&quot;&quot;" command="SELECT * FROM [asd (5)]"/>
  </connection>
  <connection id="25" xr16:uid="{DCCA328B-4260-4BB7-AD80-3622993ABD2C}" keepAlive="1" name="Query - asd (6)" description="Connection to the 'asd (6)' query in the workbook." type="5" refreshedVersion="0" background="1">
    <dbPr connection="Provider=Microsoft.Mashup.OleDb.1;Data Source=$Workbook$;Location=&quot;asd (6)&quot;;Extended Properties=&quot;&quot;" command="SELECT * FROM [asd (6)]"/>
  </connection>
  <connection id="26" xr16:uid="{BD080115-5F92-459D-9684-A01DE3F348AE}" keepAlive="1" name="Query - asd (7)" description="Connection to the 'asd (7)' query in the workbook." type="5" refreshedVersion="0" background="1">
    <dbPr connection="Provider=Microsoft.Mashup.OleDb.1;Data Source=$Workbook$;Location=&quot;asd (7)&quot;;Extended Properties=&quot;&quot;" command="SELECT * FROM [asd (7)]"/>
  </connection>
  <connection id="27" xr16:uid="{2DBBD8CB-D6F8-4F42-AF1F-3B440DCF9C08}" keepAlive="1" name="Query - asd (8)" description="Connection to the 'asd (8)' query in the workbook." type="5" refreshedVersion="0" background="1">
    <dbPr connection="Provider=Microsoft.Mashup.OleDb.1;Data Source=$Workbook$;Location=&quot;asd (8)&quot;;Extended Properties=&quot;&quot;" command="SELECT * FROM [asd (8)]"/>
  </connection>
  <connection id="28" xr16:uid="{4BD76BC6-7C76-4E8C-8004-E702EB48B9D9}" keepAlive="1" name="Query - asd (9)" description="Connection to the 'asd (9)' query in the workbook." type="5" refreshedVersion="0" background="1">
    <dbPr connection="Provider=Microsoft.Mashup.OleDb.1;Data Source=$Workbook$;Location=&quot;asd (9)&quot;;Extended Properties=&quot;&quot;" command="SELECT * FROM [asd (9)]"/>
  </connection>
  <connection id="29" xr16:uid="{7914AD59-7A7E-44D0-8817-4505BA8E3EBD}" keepAlive="1" name="Query - asd1" description="Connection to the 'asd1' query in the workbook." type="5" refreshedVersion="0" background="1">
    <dbPr connection="Provider=Microsoft.Mashup.OleDb.1;Data Source=$Workbook$;Location=asd1;Extended Properties=&quot;&quot;" command="SELECT * FROM [asd1]"/>
  </connection>
  <connection id="30" xr16:uid="{8B909C4E-DD66-44A6-A438-96373A46BA96}" keepAlive="1" name="Query - asd1 (10)" description="Connection to the 'asd1 (10)' query in the workbook." type="5" refreshedVersion="0" background="1">
    <dbPr connection="Provider=Microsoft.Mashup.OleDb.1;Data Source=$Workbook$;Location=&quot;asd1 (10)&quot;;Extended Properties=&quot;&quot;" command="SELECT * FROM [asd1 (10)]"/>
  </connection>
  <connection id="31" xr16:uid="{2F0107CA-2B73-4FF9-9DC8-F4857CC468E5}" keepAlive="1" name="Query - asd1 (11)" description="Connection to the 'asd1 (11)' query in the workbook." type="5" refreshedVersion="0" background="1">
    <dbPr connection="Provider=Microsoft.Mashup.OleDb.1;Data Source=$Workbook$;Location=&quot;asd1 (11)&quot;;Extended Properties=&quot;&quot;" command="SELECT * FROM [asd1 (11)]"/>
  </connection>
  <connection id="32" xr16:uid="{9474D382-3EBB-49D1-8552-4605C20A28BC}" keepAlive="1" name="Query - asd1 (12)" description="Connection to the 'asd1 (12)' query in the workbook." type="5" refreshedVersion="0" background="1">
    <dbPr connection="Provider=Microsoft.Mashup.OleDb.1;Data Source=$Workbook$;Location=&quot;asd1 (12)&quot;;Extended Properties=&quot;&quot;" command="SELECT * FROM [asd1 (12)]"/>
  </connection>
  <connection id="33" xr16:uid="{F2F194C6-E7DE-4BF2-A1DA-ABFB12289EDA}" keepAlive="1" name="Query - asd1 (13)" description="Connection to the 'asd1 (13)' query in the workbook." type="5" refreshedVersion="0" background="1">
    <dbPr connection="Provider=Microsoft.Mashup.OleDb.1;Data Source=$Workbook$;Location=&quot;asd1 (13)&quot;;Extended Properties=&quot;&quot;" command="SELECT * FROM [asd1 (13)]"/>
  </connection>
  <connection id="34" xr16:uid="{80C8BDB8-E348-4D31-BC31-03ABA996E2D7}" keepAlive="1" name="Query - asd1 (14)" description="Connection to the 'asd1 (14)' query in the workbook." type="5" refreshedVersion="0" background="1">
    <dbPr connection="Provider=Microsoft.Mashup.OleDb.1;Data Source=$Workbook$;Location=&quot;asd1 (14)&quot;;Extended Properties=&quot;&quot;" command="SELECT * FROM [asd1 (14)]"/>
  </connection>
  <connection id="35" xr16:uid="{53EFB9C7-BF7E-4061-AEF6-A71CF479775A}" keepAlive="1" name="Query - asd1 (15)" description="Connection to the 'asd1 (15)' query in the workbook." type="5" refreshedVersion="0" background="1">
    <dbPr connection="Provider=Microsoft.Mashup.OleDb.1;Data Source=$Workbook$;Location=&quot;asd1 (15)&quot;;Extended Properties=&quot;&quot;" command="SELECT * FROM [asd1 (15)]"/>
  </connection>
  <connection id="36" xr16:uid="{36DF9E4E-4090-4256-B517-6951974BD34A}" keepAlive="1" name="Query - asd1 (16)" description="Connection to the 'asd1 (16)' query in the workbook." type="5" refreshedVersion="7" background="1" saveData="1">
    <dbPr connection="Provider=Microsoft.Mashup.OleDb.1;Data Source=$Workbook$;Location=&quot;asd1 (16)&quot;;Extended Properties=&quot;&quot;" command="SELECT * FROM [asd1 (16)]"/>
  </connection>
  <connection id="37" xr16:uid="{ECC60B70-B948-4AD9-AF80-0C542845DDF1}" keepAlive="1" name="Query - asd1 (17)" description="Connection to the 'asd1 (17)' query in the workbook." type="5" refreshedVersion="0" background="1">
    <dbPr connection="Provider=Microsoft.Mashup.OleDb.1;Data Source=$Workbook$;Location=&quot;asd1 (17)&quot;;Extended Properties=&quot;&quot;" command="SELECT * FROM [asd1 (17)]"/>
  </connection>
  <connection id="38" xr16:uid="{D6FDD873-DF68-424A-964E-948DC7BEDBE0}" keepAlive="1" name="Query - asd1 (18)" description="Connection to the 'asd1 (18)' query in the workbook." type="5" refreshedVersion="0" background="1">
    <dbPr connection="Provider=Microsoft.Mashup.OleDb.1;Data Source=$Workbook$;Location=&quot;asd1 (18)&quot;;Extended Properties=&quot;&quot;" command="SELECT * FROM [asd1 (18)]"/>
  </connection>
  <connection id="39" xr16:uid="{683F2FB5-0FB5-48D5-8FD9-1C2B1B9355A8}" keepAlive="1" name="Query - asd1 (19)" description="Connection to the 'asd1 (19)' query in the workbook." type="5" refreshedVersion="0" background="1">
    <dbPr connection="Provider=Microsoft.Mashup.OleDb.1;Data Source=$Workbook$;Location=&quot;asd1 (19)&quot;;Extended Properties=&quot;&quot;" command="SELECT * FROM [asd1 (19)]"/>
  </connection>
  <connection id="40" xr16:uid="{BD6A740E-380F-4665-B67B-9B68ABAF0F48}" keepAlive="1" name="Query - asd1 (2)" description="Connection to the 'asd1 (2)' query in the workbook." type="5" refreshedVersion="0" background="1">
    <dbPr connection="Provider=Microsoft.Mashup.OleDb.1;Data Source=$Workbook$;Location=&quot;asd1 (2)&quot;;Extended Properties=&quot;&quot;" command="SELECT * FROM [asd1 (2)]"/>
  </connection>
  <connection id="41" xr16:uid="{75B3137E-4AE7-4154-B531-076004C84618}" keepAlive="1" name="Query - asd1 (20)" description="Connection to the 'asd1 (20)' query in the workbook." type="5" refreshedVersion="0" background="1">
    <dbPr connection="Provider=Microsoft.Mashup.OleDb.1;Data Source=$Workbook$;Location=&quot;asd1 (20)&quot;;Extended Properties=&quot;&quot;" command="SELECT * FROM [asd1 (20)]"/>
  </connection>
  <connection id="42" xr16:uid="{79315FAA-61DA-496A-9E23-E7A27DE6B338}" keepAlive="1" name="Query - asd1 (21)" description="Connection to the 'asd1 (21)' query in the workbook." type="5" refreshedVersion="0" background="1">
    <dbPr connection="Provider=Microsoft.Mashup.OleDb.1;Data Source=$Workbook$;Location=&quot;asd1 (21)&quot;;Extended Properties=&quot;&quot;" command="SELECT * FROM [asd1 (21)]"/>
  </connection>
  <connection id="43" xr16:uid="{2C5F7142-A902-4864-9067-02D9D57895F1}" keepAlive="1" name="Query - asd1 (22)" description="Connection to the 'asd1 (22)' query in the workbook." type="5" refreshedVersion="0" background="1">
    <dbPr connection="Provider=Microsoft.Mashup.OleDb.1;Data Source=$Workbook$;Location=&quot;asd1 (22)&quot;;Extended Properties=&quot;&quot;" command="SELECT * FROM [asd1 (22)]"/>
  </connection>
  <connection id="44" xr16:uid="{45DC1B8E-0699-41D2-9808-E2B6B9C64B08}" keepAlive="1" name="Query - asd1 (23)" description="Connection to the 'asd1 (23)' query in the workbook." type="5" refreshedVersion="0" background="1">
    <dbPr connection="Provider=Microsoft.Mashup.OleDb.1;Data Source=$Workbook$;Location=&quot;asd1 (23)&quot;;Extended Properties=&quot;&quot;" command="SELECT * FROM [asd1 (23)]"/>
  </connection>
  <connection id="45" xr16:uid="{94D9870F-7112-4514-A0DD-73CAB5494FF0}" keepAlive="1" name="Query - asd1 (24)" description="Connection to the 'asd1 (24)' query in the workbook." type="5" refreshedVersion="0" background="1">
    <dbPr connection="Provider=Microsoft.Mashup.OleDb.1;Data Source=$Workbook$;Location=&quot;asd1 (24)&quot;;Extended Properties=&quot;&quot;" command="SELECT * FROM [asd1 (24)]"/>
  </connection>
  <connection id="46" xr16:uid="{39AE14F4-D0D6-472B-8D46-FC1FB5C5C8DC}" keepAlive="1" name="Query - asd1 (25)" description="Connection to the 'asd1 (25)' query in the workbook." type="5" refreshedVersion="0" background="1">
    <dbPr connection="Provider=Microsoft.Mashup.OleDb.1;Data Source=$Workbook$;Location=&quot;asd1 (25)&quot;;Extended Properties=&quot;&quot;" command="SELECT * FROM [asd1 (25)]"/>
  </connection>
  <connection id="47" xr16:uid="{93B3987B-9F3D-4983-8841-E3C20F545512}" keepAlive="1" name="Query - asd1 (26)" description="Connection to the 'asd1 (26)' query in the workbook." type="5" refreshedVersion="0" background="1">
    <dbPr connection="Provider=Microsoft.Mashup.OleDb.1;Data Source=$Workbook$;Location=&quot;asd1 (26)&quot;;Extended Properties=&quot;&quot;" command="SELECT * FROM [asd1 (26)]"/>
  </connection>
  <connection id="48" xr16:uid="{F5C921C7-A143-4A20-8473-1FAE30DEF447}" keepAlive="1" name="Query - asd1 (27)" description="Connection to the 'asd1 (27)' query in the workbook." type="5" refreshedVersion="0" background="1">
    <dbPr connection="Provider=Microsoft.Mashup.OleDb.1;Data Source=$Workbook$;Location=&quot;asd1 (27)&quot;;Extended Properties=&quot;&quot;" command="SELECT * FROM [asd1 (27)]"/>
  </connection>
  <connection id="49" xr16:uid="{ED006DD0-99AD-4C7A-9E97-BEE957AF1BB5}" keepAlive="1" name="Query - asd1 (3)" description="Connection to the 'asd1 (3)' query in the workbook." type="5" refreshedVersion="0" background="1">
    <dbPr connection="Provider=Microsoft.Mashup.OleDb.1;Data Source=$Workbook$;Location=&quot;asd1 (3)&quot;;Extended Properties=&quot;&quot;" command="SELECT * FROM [asd1 (3)]"/>
  </connection>
  <connection id="50" xr16:uid="{9B408C86-52DB-4AD1-8338-00AAFE61CA6D}" keepAlive="1" name="Query - asd1 (4)" description="Connection to the 'asd1 (4)' query in the workbook." type="5" refreshedVersion="0" background="1">
    <dbPr connection="Provider=Microsoft.Mashup.OleDb.1;Data Source=$Workbook$;Location=&quot;asd1 (4)&quot;;Extended Properties=&quot;&quot;" command="SELECT * FROM [asd1 (4)]"/>
  </connection>
  <connection id="51" xr16:uid="{5E73E16B-0A75-45E7-94E4-A1D1CCABF11B}" keepAlive="1" name="Query - asd1 (5)" description="Connection to the 'asd1 (5)' query in the workbook." type="5" refreshedVersion="0" background="1">
    <dbPr connection="Provider=Microsoft.Mashup.OleDb.1;Data Source=$Workbook$;Location=&quot;asd1 (5)&quot;;Extended Properties=&quot;&quot;" command="SELECT * FROM [asd1 (5)]"/>
  </connection>
  <connection id="52" xr16:uid="{03C8ECBC-9377-405C-92B8-2FB7EFA86760}" keepAlive="1" name="Query - asd1 (6)" description="Connection to the 'asd1 (6)' query in the workbook." type="5" refreshedVersion="0" background="1">
    <dbPr connection="Provider=Microsoft.Mashup.OleDb.1;Data Source=$Workbook$;Location=&quot;asd1 (6)&quot;;Extended Properties=&quot;&quot;" command="SELECT * FROM [asd1 (6)]"/>
  </connection>
  <connection id="53" xr16:uid="{5162F2A7-9D3C-4325-92A3-11B3A6595B1E}" keepAlive="1" name="Query - asd1 (7)" description="Connection to the 'asd1 (7)' query in the workbook." type="5" refreshedVersion="0" background="1">
    <dbPr connection="Provider=Microsoft.Mashup.OleDb.1;Data Source=$Workbook$;Location=&quot;asd1 (7)&quot;;Extended Properties=&quot;&quot;" command="SELECT * FROM [asd1 (7)]"/>
  </connection>
  <connection id="54" xr16:uid="{268C0FDB-5424-44BC-A7CA-38ED32718FD2}" keepAlive="1" name="Query - asd1 (8)" description="Connection to the 'asd1 (8)' query in the workbook." type="5" refreshedVersion="0" background="1">
    <dbPr connection="Provider=Microsoft.Mashup.OleDb.1;Data Source=$Workbook$;Location=&quot;asd1 (8)&quot;;Extended Properties=&quot;&quot;" command="SELECT * FROM [asd1 (8)]"/>
  </connection>
  <connection id="55" xr16:uid="{0B77FA95-F299-41D9-B14E-1C1EA4891C84}" keepAlive="1" name="Query - asd1 (9)" description="Connection to the 'asd1 (9)' query in the workbook." type="5" refreshedVersion="0" background="1">
    <dbPr connection="Provider=Microsoft.Mashup.OleDb.1;Data Source=$Workbook$;Location=&quot;asd1 (9)&quot;;Extended Properties=&quot;&quot;" command="SELECT * FROM [asd1 (9)]"/>
  </connection>
</connections>
</file>

<file path=xl/sharedStrings.xml><?xml version="1.0" encoding="utf-8"?>
<sst xmlns="http://schemas.openxmlformats.org/spreadsheetml/2006/main" count="52" uniqueCount="20">
  <si>
    <t>07 to 2015</t>
  </si>
  <si>
    <t>base</t>
  </si>
  <si>
    <t>Wet+AN</t>
  </si>
  <si>
    <t>Dry+BN</t>
  </si>
  <si>
    <t>NAA</t>
  </si>
  <si>
    <t>nAB(t)/nAB(t-1)</t>
  </si>
  <si>
    <t>EXP1</t>
  </si>
  <si>
    <t>EXP3</t>
  </si>
  <si>
    <t>Alt1</t>
  </si>
  <si>
    <t>Alt2v1wTUCP</t>
  </si>
  <si>
    <t>Alt2v1woTUCP</t>
  </si>
  <si>
    <t>Alt2v2noTUCP</t>
  </si>
  <si>
    <t>Alt2v3noTUCP</t>
  </si>
  <si>
    <t>Alt4</t>
  </si>
  <si>
    <t>Alt3</t>
  </si>
  <si>
    <t>95 to 2015</t>
  </si>
  <si>
    <t>06 to 2015</t>
  </si>
  <si>
    <t>95 to 2005</t>
  </si>
  <si>
    <t>Alt5</t>
  </si>
  <si>
    <t>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</si>
</sst>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4560367454068"/>
          <c:y val="4.1841004184100417E-2"/>
          <c:w val="0.79532174103237085"/>
          <c:h val="0.834155437683260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'CalSim flow actions'!$B$2</c:f>
              <c:strCache>
                <c:ptCount val="1"/>
                <c:pt idx="0">
                  <c:v>base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actions'!$B$3:$B$23</c:f>
              <c:numCache>
                <c:formatCode>0.00</c:formatCode>
                <c:ptCount val="21"/>
                <c:pt idx="0">
                  <c:v>3.5610191700696698</c:v>
                </c:pt>
                <c:pt idx="1">
                  <c:v>1.3718316888875199</c:v>
                </c:pt>
                <c:pt idx="2">
                  <c:v>0.67949216598212003</c:v>
                </c:pt>
                <c:pt idx="3">
                  <c:v>4.78332184724092</c:v>
                </c:pt>
                <c:pt idx="4">
                  <c:v>0.78679273628624502</c:v>
                </c:pt>
                <c:pt idx="5">
                  <c:v>0.68743684932182003</c:v>
                </c:pt>
                <c:pt idx="6">
                  <c:v>0.105759035305317</c:v>
                </c:pt>
                <c:pt idx="7">
                  <c:v>0.55385240221181498</c:v>
                </c:pt>
                <c:pt idx="8">
                  <c:v>0.87467153263111397</c:v>
                </c:pt>
                <c:pt idx="9">
                  <c:v>0.43938957924639799</c:v>
                </c:pt>
                <c:pt idx="10">
                  <c:v>1.9361255272381801</c:v>
                </c:pt>
                <c:pt idx="11">
                  <c:v>3.3702507080828501</c:v>
                </c:pt>
                <c:pt idx="12">
                  <c:v>0.51297516617647199</c:v>
                </c:pt>
                <c:pt idx="13">
                  <c:v>0.94903513426914199</c:v>
                </c:pt>
                <c:pt idx="14">
                  <c:v>0.64362803023000803</c:v>
                </c:pt>
                <c:pt idx="15">
                  <c:v>1.2590075767384801</c:v>
                </c:pt>
                <c:pt idx="16">
                  <c:v>3.6477234139028201</c:v>
                </c:pt>
                <c:pt idx="17">
                  <c:v>0.95167599485186505</c:v>
                </c:pt>
                <c:pt idx="18">
                  <c:v>0.89601015715500698</c:v>
                </c:pt>
                <c:pt idx="19">
                  <c:v>0.43448894050783399</c:v>
                </c:pt>
                <c:pt idx="20">
                  <c:v>0.66176066170976799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F0-4C6B-B345-13256FBCE30E}"/>
            </c:ext>
          </c:extLst>
        </c:ser>
        <c:ser>
          <c:idx val="1"/>
          <c:order val="1"/>
          <c:tx>
            <c:strRef>
              <c:f>'CalSim flow actions'!$C$2</c:f>
              <c:strCache>
                <c:ptCount val="1"/>
                <c:pt idx="0">
                  <c:v>Alt1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actions'!$C$3:$C$23</c:f>
              <c:numCache>
                <c:formatCode>General</c:formatCode>
                <c:ptCount val="21"/>
                <c:pt idx="0">
                  <c:v>1.6550229305595801</c:v>
                </c:pt>
                <c:pt idx="1">
                  <c:v>0.65918984419760096</c:v>
                </c:pt>
                <c:pt idx="2">
                  <c:v>0.38191871032092101</c:v>
                </c:pt>
                <c:pt idx="3">
                  <c:v>1.7345691329723101</c:v>
                </c:pt>
                <c:pt idx="4">
                  <c:v>0.55529684037375304</c:v>
                </c:pt>
                <c:pt idx="5">
                  <c:v>0.42026616042846698</c:v>
                </c:pt>
                <c:pt idx="6">
                  <c:v>0.13653245922885299</c:v>
                </c:pt>
                <c:pt idx="7">
                  <c:v>0.68705703738350299</c:v>
                </c:pt>
                <c:pt idx="8">
                  <c:v>0.72628737884373695</c:v>
                </c:pt>
                <c:pt idx="9">
                  <c:v>0.43228631087939801</c:v>
                </c:pt>
                <c:pt idx="10">
                  <c:v>1.0523650122141901</c:v>
                </c:pt>
                <c:pt idx="11">
                  <c:v>2.0910576267381602</c:v>
                </c:pt>
                <c:pt idx="12">
                  <c:v>0.35751077405502102</c:v>
                </c:pt>
                <c:pt idx="13">
                  <c:v>0.90701124229281904</c:v>
                </c:pt>
                <c:pt idx="14">
                  <c:v>0.49173770944117801</c:v>
                </c:pt>
                <c:pt idx="15">
                  <c:v>1.13731057815881</c:v>
                </c:pt>
                <c:pt idx="16">
                  <c:v>2.6548430707385999</c:v>
                </c:pt>
                <c:pt idx="17">
                  <c:v>0.65394891974395897</c:v>
                </c:pt>
                <c:pt idx="18">
                  <c:v>0.78870693284017801</c:v>
                </c:pt>
                <c:pt idx="19">
                  <c:v>0.36240131559226901</c:v>
                </c:pt>
                <c:pt idx="20">
                  <c:v>0.64649924414346904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F0-4C6B-B345-13256FBCE30E}"/>
            </c:ext>
          </c:extLst>
        </c:ser>
        <c:ser>
          <c:idx val="2"/>
          <c:order val="2"/>
          <c:tx>
            <c:strRef>
              <c:f>'CalSim flow actions'!$D$2</c:f>
              <c:strCache>
                <c:ptCount val="1"/>
                <c:pt idx="0">
                  <c:v>Alt2v1wTUCP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actions'!$D$3:$D$23</c:f>
              <c:numCache>
                <c:formatCode>General</c:formatCode>
                <c:ptCount val="21"/>
                <c:pt idx="0">
                  <c:v>1.8043155513192</c:v>
                </c:pt>
                <c:pt idx="1">
                  <c:v>0.63463136578090995</c:v>
                </c:pt>
                <c:pt idx="2">
                  <c:v>0.57413851146216499</c:v>
                </c:pt>
                <c:pt idx="3">
                  <c:v>1.6719855370732799</c:v>
                </c:pt>
                <c:pt idx="4">
                  <c:v>0.685321884506778</c:v>
                </c:pt>
                <c:pt idx="5">
                  <c:v>0.79447471690648797</c:v>
                </c:pt>
                <c:pt idx="6">
                  <c:v>0.35240839882705</c:v>
                </c:pt>
                <c:pt idx="7">
                  <c:v>0.91446506426292296</c:v>
                </c:pt>
                <c:pt idx="8">
                  <c:v>1.4493698449928101</c:v>
                </c:pt>
                <c:pt idx="9">
                  <c:v>0.79153788869699804</c:v>
                </c:pt>
                <c:pt idx="10">
                  <c:v>1.2816348537198501</c:v>
                </c:pt>
                <c:pt idx="11">
                  <c:v>2.3577631493078499</c:v>
                </c:pt>
                <c:pt idx="12">
                  <c:v>0.59328453696362105</c:v>
                </c:pt>
                <c:pt idx="13">
                  <c:v>0.994098968572942</c:v>
                </c:pt>
                <c:pt idx="14">
                  <c:v>0.72932509243299004</c:v>
                </c:pt>
                <c:pt idx="15">
                  <c:v>1.2491086766659101</c:v>
                </c:pt>
                <c:pt idx="16">
                  <c:v>2.7670378103589499</c:v>
                </c:pt>
                <c:pt idx="17">
                  <c:v>0.91059279358216905</c:v>
                </c:pt>
                <c:pt idx="18">
                  <c:v>0.83180373108332595</c:v>
                </c:pt>
                <c:pt idx="19">
                  <c:v>0.40638976975402402</c:v>
                </c:pt>
                <c:pt idx="20">
                  <c:v>0.55141841975936801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F0-4C6B-B345-13256FBCE30E}"/>
            </c:ext>
          </c:extLst>
        </c:ser>
        <c:ser>
          <c:idx val="3"/>
          <c:order val="3"/>
          <c:tx>
            <c:strRef>
              <c:f>'CalSim flow actions'!$E$2</c:f>
              <c:strCache>
                <c:ptCount val="1"/>
                <c:pt idx="0">
                  <c:v>Alt2v1woTUCP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actions'!$E$3:$E$23</c:f>
              <c:numCache>
                <c:formatCode>General</c:formatCode>
                <c:ptCount val="21"/>
                <c:pt idx="0">
                  <c:v>1.8136573864304399</c:v>
                </c:pt>
                <c:pt idx="1">
                  <c:v>0.62665468852801098</c:v>
                </c:pt>
                <c:pt idx="2">
                  <c:v>0.57683576400318204</c:v>
                </c:pt>
                <c:pt idx="3">
                  <c:v>1.6491531839734599</c:v>
                </c:pt>
                <c:pt idx="4">
                  <c:v>0.690729335913983</c:v>
                </c:pt>
                <c:pt idx="5">
                  <c:v>0.79149269464729699</c:v>
                </c:pt>
                <c:pt idx="6">
                  <c:v>0.35458791167089698</c:v>
                </c:pt>
                <c:pt idx="7">
                  <c:v>0.93203348048272505</c:v>
                </c:pt>
                <c:pt idx="8">
                  <c:v>1.4564932781354201</c:v>
                </c:pt>
                <c:pt idx="9">
                  <c:v>0.78664471521715695</c:v>
                </c:pt>
                <c:pt idx="10">
                  <c:v>1.2771662085365201</c:v>
                </c:pt>
                <c:pt idx="11">
                  <c:v>2.3924465559283798</c:v>
                </c:pt>
                <c:pt idx="12">
                  <c:v>0.59476992689886699</c:v>
                </c:pt>
                <c:pt idx="13">
                  <c:v>0.98785789610123498</c:v>
                </c:pt>
                <c:pt idx="14">
                  <c:v>0.72619697028173802</c:v>
                </c:pt>
                <c:pt idx="15">
                  <c:v>1.2427814598164699</c:v>
                </c:pt>
                <c:pt idx="16">
                  <c:v>2.75873455326259</c:v>
                </c:pt>
                <c:pt idx="17">
                  <c:v>0.91535934400756103</c:v>
                </c:pt>
                <c:pt idx="18">
                  <c:v>0.83442042485939905</c:v>
                </c:pt>
                <c:pt idx="19">
                  <c:v>0.44339841531292901</c:v>
                </c:pt>
                <c:pt idx="20">
                  <c:v>0.63023907987961103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F0-4C6B-B345-13256FBCE30E}"/>
            </c:ext>
          </c:extLst>
        </c:ser>
        <c:ser>
          <c:idx val="4"/>
          <c:order val="4"/>
          <c:tx>
            <c:strRef>
              <c:f>'CalSim flow actions'!$F$2</c:f>
              <c:strCache>
                <c:ptCount val="1"/>
                <c:pt idx="0">
                  <c:v>Alt2v2noTUCP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actions'!$F$3:$F$23</c:f>
              <c:numCache>
                <c:formatCode>General</c:formatCode>
                <c:ptCount val="21"/>
                <c:pt idx="0">
                  <c:v>1.8578638263720599</c:v>
                </c:pt>
                <c:pt idx="1">
                  <c:v>0.63949728529976002</c:v>
                </c:pt>
                <c:pt idx="2">
                  <c:v>0.58200049220014705</c:v>
                </c:pt>
                <c:pt idx="3">
                  <c:v>1.6551623127364601</c:v>
                </c:pt>
                <c:pt idx="4">
                  <c:v>0.67831900531400202</c:v>
                </c:pt>
                <c:pt idx="5">
                  <c:v>0.84281985852910601</c:v>
                </c:pt>
                <c:pt idx="6">
                  <c:v>0.38756837023887197</c:v>
                </c:pt>
                <c:pt idx="7">
                  <c:v>1.00382966881651</c:v>
                </c:pt>
                <c:pt idx="8">
                  <c:v>1.53201112571382</c:v>
                </c:pt>
                <c:pt idx="9">
                  <c:v>0.816430900714742</c:v>
                </c:pt>
                <c:pt idx="10">
                  <c:v>1.34475065120649</c:v>
                </c:pt>
                <c:pt idx="11">
                  <c:v>2.4602332104635201</c:v>
                </c:pt>
                <c:pt idx="12">
                  <c:v>0.60063761297823803</c:v>
                </c:pt>
                <c:pt idx="13">
                  <c:v>1.0528860547191501</c:v>
                </c:pt>
                <c:pt idx="14">
                  <c:v>0.72515034200755302</c:v>
                </c:pt>
                <c:pt idx="15">
                  <c:v>1.2799281437127099</c:v>
                </c:pt>
                <c:pt idx="16">
                  <c:v>2.7515584902160102</c:v>
                </c:pt>
                <c:pt idx="17">
                  <c:v>0.92700171021244604</c:v>
                </c:pt>
                <c:pt idx="18">
                  <c:v>0.84176890672246496</c:v>
                </c:pt>
                <c:pt idx="19">
                  <c:v>0.43315788216058698</c:v>
                </c:pt>
                <c:pt idx="20">
                  <c:v>0.63503307232399997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A-42DC-913F-D4FB3834666B}"/>
            </c:ext>
          </c:extLst>
        </c:ser>
        <c:ser>
          <c:idx val="5"/>
          <c:order val="5"/>
          <c:tx>
            <c:strRef>
              <c:f>'CalSim flow actions'!$G$2</c:f>
              <c:strCache>
                <c:ptCount val="1"/>
                <c:pt idx="0">
                  <c:v>Alt2v3noTUCP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actions'!$G$3:$G$23</c:f>
              <c:numCache>
                <c:formatCode>General</c:formatCode>
                <c:ptCount val="21"/>
                <c:pt idx="0">
                  <c:v>1.80104449822086</c:v>
                </c:pt>
                <c:pt idx="1">
                  <c:v>0.63673191112025196</c:v>
                </c:pt>
                <c:pt idx="2">
                  <c:v>0.57784504627552602</c:v>
                </c:pt>
                <c:pt idx="3">
                  <c:v>1.6527803744026599</c:v>
                </c:pt>
                <c:pt idx="4">
                  <c:v>0.69821476639948798</c:v>
                </c:pt>
                <c:pt idx="5">
                  <c:v>0.85858490483490701</c:v>
                </c:pt>
                <c:pt idx="6">
                  <c:v>0.40085882205403101</c:v>
                </c:pt>
                <c:pt idx="7">
                  <c:v>0.997663068470658</c:v>
                </c:pt>
                <c:pt idx="8">
                  <c:v>1.53567417015148</c:v>
                </c:pt>
                <c:pt idx="9">
                  <c:v>0.81756946190531998</c:v>
                </c:pt>
                <c:pt idx="10">
                  <c:v>1.3650093270633701</c:v>
                </c:pt>
                <c:pt idx="11">
                  <c:v>2.50915758519288</c:v>
                </c:pt>
                <c:pt idx="12">
                  <c:v>0.59554647231775304</c:v>
                </c:pt>
                <c:pt idx="13">
                  <c:v>1.0573726789860201</c:v>
                </c:pt>
                <c:pt idx="14">
                  <c:v>0.71577341487346302</c:v>
                </c:pt>
                <c:pt idx="15">
                  <c:v>1.2367162785410499</c:v>
                </c:pt>
                <c:pt idx="16">
                  <c:v>2.7670799505052601</c:v>
                </c:pt>
                <c:pt idx="17">
                  <c:v>0.92392817699132901</c:v>
                </c:pt>
                <c:pt idx="18">
                  <c:v>0.84166983614952495</c:v>
                </c:pt>
                <c:pt idx="19">
                  <c:v>0.43398066308528799</c:v>
                </c:pt>
                <c:pt idx="20">
                  <c:v>0.62427759913799297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AA-42DC-913F-D4FB3834666B}"/>
            </c:ext>
          </c:extLst>
        </c:ser>
        <c:ser>
          <c:idx val="6"/>
          <c:order val="6"/>
          <c:tx>
            <c:strRef>
              <c:f>'CalSim flow actions'!$H$2</c:f>
              <c:strCache>
                <c:ptCount val="1"/>
                <c:pt idx="0">
                  <c:v>Alt3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actions'!$H$3:$H$23</c:f>
              <c:numCache>
                <c:formatCode>General</c:formatCode>
                <c:ptCount val="21"/>
                <c:pt idx="0">
                  <c:v>2.2774356324853602</c:v>
                </c:pt>
                <c:pt idx="1">
                  <c:v>1.0655501756686401</c:v>
                </c:pt>
                <c:pt idx="2">
                  <c:v>0.78764773758838103</c:v>
                </c:pt>
                <c:pt idx="3">
                  <c:v>3.0144489862930501</c:v>
                </c:pt>
                <c:pt idx="4">
                  <c:v>0.88314358625607103</c:v>
                </c:pt>
                <c:pt idx="5">
                  <c:v>0.77703201656792498</c:v>
                </c:pt>
                <c:pt idx="6">
                  <c:v>0.59485806521497997</c:v>
                </c:pt>
                <c:pt idx="7">
                  <c:v>1.1966520093814501</c:v>
                </c:pt>
                <c:pt idx="8">
                  <c:v>1.5606284576561</c:v>
                </c:pt>
                <c:pt idx="9">
                  <c:v>0.908845491482006</c:v>
                </c:pt>
                <c:pt idx="10">
                  <c:v>1.5858770976852099</c:v>
                </c:pt>
                <c:pt idx="11">
                  <c:v>3.3529421506632699</c:v>
                </c:pt>
                <c:pt idx="12">
                  <c:v>0.85151414037755502</c:v>
                </c:pt>
                <c:pt idx="13">
                  <c:v>1.3272291027588801</c:v>
                </c:pt>
                <c:pt idx="14">
                  <c:v>0.81043731006286401</c:v>
                </c:pt>
                <c:pt idx="15">
                  <c:v>1.40482782628424</c:v>
                </c:pt>
                <c:pt idx="16">
                  <c:v>2.60081320556105</c:v>
                </c:pt>
                <c:pt idx="17">
                  <c:v>1.04670747554316</c:v>
                </c:pt>
                <c:pt idx="18">
                  <c:v>1.0092594972289</c:v>
                </c:pt>
                <c:pt idx="19">
                  <c:v>0.58818829431680997</c:v>
                </c:pt>
                <c:pt idx="20">
                  <c:v>0.72854534683275696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4-4957-96AE-606495AD1351}"/>
            </c:ext>
          </c:extLst>
        </c:ser>
        <c:ser>
          <c:idx val="7"/>
          <c:order val="7"/>
          <c:tx>
            <c:strRef>
              <c:f>'CalSim flow actions'!$I$2</c:f>
              <c:strCache>
                <c:ptCount val="1"/>
                <c:pt idx="0">
                  <c:v>Alt4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actions'!$I$3:$I$23</c:f>
              <c:numCache>
                <c:formatCode>General</c:formatCode>
                <c:ptCount val="21"/>
                <c:pt idx="0">
                  <c:v>1.81454541182412</c:v>
                </c:pt>
                <c:pt idx="1">
                  <c:v>0.62389488906415003</c:v>
                </c:pt>
                <c:pt idx="2">
                  <c:v>0.57418990377898704</c:v>
                </c:pt>
                <c:pt idx="3">
                  <c:v>1.73247790469042</c:v>
                </c:pt>
                <c:pt idx="4">
                  <c:v>0.65158085101810204</c:v>
                </c:pt>
                <c:pt idx="5">
                  <c:v>0.71575061706070198</c:v>
                </c:pt>
                <c:pt idx="6">
                  <c:v>0.35172352728735301</c:v>
                </c:pt>
                <c:pt idx="7">
                  <c:v>0.91521265080671599</c:v>
                </c:pt>
                <c:pt idx="8">
                  <c:v>1.3615601994352999</c:v>
                </c:pt>
                <c:pt idx="9">
                  <c:v>0.73560565857006799</c:v>
                </c:pt>
                <c:pt idx="10">
                  <c:v>1.2864542752589301</c:v>
                </c:pt>
                <c:pt idx="11">
                  <c:v>2.284859925553</c:v>
                </c:pt>
                <c:pt idx="12">
                  <c:v>0.55343261205525995</c:v>
                </c:pt>
                <c:pt idx="13">
                  <c:v>0.98405975855087102</c:v>
                </c:pt>
                <c:pt idx="14">
                  <c:v>0.704707894130847</c:v>
                </c:pt>
                <c:pt idx="15">
                  <c:v>1.2472654226452999</c:v>
                </c:pt>
                <c:pt idx="16">
                  <c:v>2.7993284442602402</c:v>
                </c:pt>
                <c:pt idx="17">
                  <c:v>0.91720011878808505</c:v>
                </c:pt>
                <c:pt idx="18">
                  <c:v>0.83188205557274797</c:v>
                </c:pt>
                <c:pt idx="19">
                  <c:v>0.37568274465037899</c:v>
                </c:pt>
                <c:pt idx="20">
                  <c:v>0.54492442996677604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64-4957-96AE-606495AD1351}"/>
            </c:ext>
          </c:extLst>
        </c:ser>
        <c:ser>
          <c:idx val="8"/>
          <c:order val="8"/>
          <c:tx>
            <c:strRef>
              <c:f>'CalSim flow actions'!$K$2</c:f>
              <c:strCache>
                <c:ptCount val="1"/>
                <c:pt idx="0">
                  <c:v>EXP1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actions'!$K$3:$K$23</c:f>
              <c:numCache>
                <c:formatCode>General</c:formatCode>
                <c:ptCount val="21"/>
                <c:pt idx="0">
                  <c:v>4.5798900339323803</c:v>
                </c:pt>
                <c:pt idx="1">
                  <c:v>1.2053490097283901</c:v>
                </c:pt>
                <c:pt idx="2">
                  <c:v>0.59837232924597406</c:v>
                </c:pt>
                <c:pt idx="3">
                  <c:v>5.1471079754649498</c:v>
                </c:pt>
                <c:pt idx="4">
                  <c:v>1.0109375255570501</c:v>
                </c:pt>
                <c:pt idx="5">
                  <c:v>0.76974000281473998</c:v>
                </c:pt>
                <c:pt idx="6">
                  <c:v>0.29340341325742197</c:v>
                </c:pt>
                <c:pt idx="7">
                  <c:v>0.73186340802731797</c:v>
                </c:pt>
                <c:pt idx="8">
                  <c:v>1.6217426447385199</c:v>
                </c:pt>
                <c:pt idx="9">
                  <c:v>0.65300904982415198</c:v>
                </c:pt>
                <c:pt idx="10">
                  <c:v>2.9489176492742701</c:v>
                </c:pt>
                <c:pt idx="11">
                  <c:v>3.13330294146331</c:v>
                </c:pt>
                <c:pt idx="12">
                  <c:v>0.47001444570879303</c:v>
                </c:pt>
                <c:pt idx="13">
                  <c:v>0.63406178275452096</c:v>
                </c:pt>
                <c:pt idx="14">
                  <c:v>0.61800341886430199</c:v>
                </c:pt>
                <c:pt idx="15">
                  <c:v>2.2399013906015401</c:v>
                </c:pt>
                <c:pt idx="16">
                  <c:v>4.74133611653843</c:v>
                </c:pt>
                <c:pt idx="17">
                  <c:v>0.55705269313684203</c:v>
                </c:pt>
                <c:pt idx="18">
                  <c:v>0.44554103731107902</c:v>
                </c:pt>
                <c:pt idx="19">
                  <c:v>0.30204187818039402</c:v>
                </c:pt>
                <c:pt idx="20">
                  <c:v>0.40313583985413498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64-4957-96AE-606495AD1351}"/>
            </c:ext>
          </c:extLst>
        </c:ser>
        <c:ser>
          <c:idx val="9"/>
          <c:order val="9"/>
          <c:tx>
            <c:strRef>
              <c:f>'CalSim flow actions'!$L$2</c:f>
              <c:strCache>
                <c:ptCount val="1"/>
                <c:pt idx="0">
                  <c:v>EXP3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actions'!$L$3:$L$23</c:f>
              <c:numCache>
                <c:formatCode>General</c:formatCode>
                <c:ptCount val="21"/>
                <c:pt idx="0">
                  <c:v>4.3258860299402002</c:v>
                </c:pt>
                <c:pt idx="1">
                  <c:v>1.45516773734484</c:v>
                </c:pt>
                <c:pt idx="2">
                  <c:v>0.99154225661427198</c:v>
                </c:pt>
                <c:pt idx="3">
                  <c:v>4.9075427788256096</c:v>
                </c:pt>
                <c:pt idx="4">
                  <c:v>1.36204931499655</c:v>
                </c:pt>
                <c:pt idx="5">
                  <c:v>1.1404982634210299</c:v>
                </c:pt>
                <c:pt idx="6">
                  <c:v>0.47005717570038202</c:v>
                </c:pt>
                <c:pt idx="7">
                  <c:v>1.2488630686811599</c:v>
                </c:pt>
                <c:pt idx="8">
                  <c:v>2.5450262198043001</c:v>
                </c:pt>
                <c:pt idx="9">
                  <c:v>1.1190172286800599</c:v>
                </c:pt>
                <c:pt idx="10">
                  <c:v>3.19918272956857</c:v>
                </c:pt>
                <c:pt idx="11">
                  <c:v>3.4653550721875099</c:v>
                </c:pt>
                <c:pt idx="12">
                  <c:v>0.80814709275711405</c:v>
                </c:pt>
                <c:pt idx="13">
                  <c:v>1.03521815762901</c:v>
                </c:pt>
                <c:pt idx="14">
                  <c:v>1.14840892926654</c:v>
                </c:pt>
                <c:pt idx="15">
                  <c:v>2.3308143575043201</c:v>
                </c:pt>
                <c:pt idx="16">
                  <c:v>4.6997606936087104</c:v>
                </c:pt>
                <c:pt idx="17">
                  <c:v>0.92890877638170299</c:v>
                </c:pt>
                <c:pt idx="18">
                  <c:v>0.73100791763378103</c:v>
                </c:pt>
                <c:pt idx="19">
                  <c:v>0.44992342413615999</c:v>
                </c:pt>
                <c:pt idx="20">
                  <c:v>0.60299399775454099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64-4957-96AE-606495AD1351}"/>
            </c:ext>
          </c:extLst>
        </c:ser>
        <c:ser>
          <c:idx val="10"/>
          <c:order val="10"/>
          <c:tx>
            <c:strRef>
              <c:f>'CalSim flow actions'!$M$2</c:f>
              <c:strCache>
                <c:ptCount val="1"/>
                <c:pt idx="0">
                  <c:v>NAA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actions'!$M$3:$M$23</c:f>
              <c:numCache>
                <c:formatCode>General</c:formatCode>
                <c:ptCount val="21"/>
                <c:pt idx="0">
                  <c:v>1.9003956447081201</c:v>
                </c:pt>
                <c:pt idx="1">
                  <c:v>0.74425622501393296</c:v>
                </c:pt>
                <c:pt idx="2">
                  <c:v>0.60519398642981403</c:v>
                </c:pt>
                <c:pt idx="3">
                  <c:v>1.8131083587545</c:v>
                </c:pt>
                <c:pt idx="4">
                  <c:v>0.77539194027663205</c:v>
                </c:pt>
                <c:pt idx="5">
                  <c:v>0.86106414155708</c:v>
                </c:pt>
                <c:pt idx="6">
                  <c:v>0.359550901448555</c:v>
                </c:pt>
                <c:pt idx="7">
                  <c:v>0.90984605538759999</c:v>
                </c:pt>
                <c:pt idx="8">
                  <c:v>1.504386016887</c:v>
                </c:pt>
                <c:pt idx="9">
                  <c:v>0.81315334189789701</c:v>
                </c:pt>
                <c:pt idx="10">
                  <c:v>1.31718244152752</c:v>
                </c:pt>
                <c:pt idx="11">
                  <c:v>2.4996348801615902</c:v>
                </c:pt>
                <c:pt idx="12">
                  <c:v>0.59441052744433898</c:v>
                </c:pt>
                <c:pt idx="13">
                  <c:v>0.99182106025363104</c:v>
                </c:pt>
                <c:pt idx="14">
                  <c:v>0.72824099396771103</c:v>
                </c:pt>
                <c:pt idx="15">
                  <c:v>1.2703418366083701</c:v>
                </c:pt>
                <c:pt idx="16">
                  <c:v>2.7467370381736802</c:v>
                </c:pt>
                <c:pt idx="17">
                  <c:v>0.94405265677671502</c:v>
                </c:pt>
                <c:pt idx="18">
                  <c:v>0.82035741331682399</c:v>
                </c:pt>
                <c:pt idx="19">
                  <c:v>0.39650324024686101</c:v>
                </c:pt>
                <c:pt idx="20">
                  <c:v>0.54957961208902295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F-447C-94A3-3C6EDD431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793184"/>
        <c:axId val="2062795680"/>
      </c:scatterChart>
      <c:valAx>
        <c:axId val="2062793184"/>
        <c:scaling>
          <c:orientation val="minMax"/>
          <c:max val="2016"/>
          <c:min val="199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2795680"/>
        <c:crosses val="autoZero"/>
        <c:crossBetween val="midCat"/>
      </c:valAx>
      <c:valAx>
        <c:axId val="2062795680"/>
        <c:scaling>
          <c:orientation val="minMax"/>
          <c:max val="3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Population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279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702417039419373"/>
          <c:y val="1.1854292272043428E-2"/>
          <c:w val="0.18297582960580633"/>
          <c:h val="0.46718090681039726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1534066716236"/>
          <c:y val="5.0925925925925923E-2"/>
          <c:w val="0.81628465933283767"/>
          <c:h val="0.609601195683872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'CalSim flow actions'!$B$2:$M$2</c:f>
              <c:strCache>
                <c:ptCount val="12"/>
                <c:pt idx="0">
                  <c:v>base</c:v>
                </c:pt>
                <c:pt idx="1">
                  <c:v>Alt1</c:v>
                </c:pt>
                <c:pt idx="2">
                  <c:v>Alt2v1wTUCP</c:v>
                </c:pt>
                <c:pt idx="3">
                  <c:v>Alt2v1woTUCP</c:v>
                </c:pt>
                <c:pt idx="4">
                  <c:v>Alt2v2noTUCP</c:v>
                </c:pt>
                <c:pt idx="5">
                  <c:v>Alt2v3noTUCP</c:v>
                </c:pt>
                <c:pt idx="6">
                  <c:v>Alt3</c:v>
                </c:pt>
                <c:pt idx="7">
                  <c:v>Alt4</c:v>
                </c:pt>
                <c:pt idx="8">
                  <c:v>Alt5</c:v>
                </c:pt>
                <c:pt idx="9">
                  <c:v>EXP1</c:v>
                </c:pt>
                <c:pt idx="10">
                  <c:v>EXP3</c:v>
                </c:pt>
                <c:pt idx="11">
                  <c:v>NAA</c:v>
                </c:pt>
              </c:strCache>
            </c:strRef>
          </c:cat>
          <c:val>
            <c:numRef>
              <c:f>'CalSim flow actions'!$B$25:$M$25</c:f>
              <c:numCache>
                <c:formatCode>0.00</c:formatCode>
                <c:ptCount val="12"/>
                <c:pt idx="0">
                  <c:v>0.96218496410883203</c:v>
                </c:pt>
                <c:pt idx="1">
                  <c:v>0.70434068696278895</c:v>
                </c:pt>
                <c:pt idx="2">
                  <c:v>0.91875408264033498</c:v>
                </c:pt>
                <c:pt idx="3">
                  <c:v>0.92911535116712995</c:v>
                </c:pt>
                <c:pt idx="4">
                  <c:v>0.953161391036905</c:v>
                </c:pt>
                <c:pt idx="5">
                  <c:v>0.95337947054658201</c:v>
                </c:pt>
                <c:pt idx="6">
                  <c:v>1.1797108695882701</c:v>
                </c:pt>
                <c:pt idx="7">
                  <c:v>0.89789959898535998</c:v>
                </c:pt>
                <c:pt idx="8">
                  <c:v>0.90136016889412096</c:v>
                </c:pt>
                <c:pt idx="9">
                  <c:v>1.0239325410695601</c:v>
                </c:pt>
                <c:pt idx="10">
                  <c:v>1.4254483612050399</c:v>
                </c:pt>
                <c:pt idx="11">
                  <c:v>0.95060828588105195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0-44AE-A94D-FFBB79F9A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34963936"/>
        <c:axId val="34966848"/>
      </c:barChart>
      <c:catAx>
        <c:axId val="349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966848"/>
        <c:crosses val="autoZero"/>
        <c:auto val="1"/>
        <c:lblAlgn val="ctr"/>
        <c:lblOffset val="100"/>
        <c:noMultiLvlLbl val="0"/>
      </c:catAx>
      <c:valAx>
        <c:axId val="34966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Mean population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96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4560367454068"/>
          <c:y val="4.1841004184100417E-2"/>
          <c:w val="0.79532174103237085"/>
          <c:h val="0.834155437683260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'CalSim flow actions'!$P$2</c:f>
              <c:strCache>
                <c:ptCount val="1"/>
                <c:pt idx="0">
                  <c:v>Alt1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actions'!$P$3:$P$23</c:f>
              <c:numCache>
                <c:formatCode>0.000</c:formatCode>
                <c:ptCount val="21"/>
                <c:pt idx="0">
                  <c:v>-0.12911664727911254</c:v>
                </c:pt>
                <c:pt idx="1">
                  <c:v>-0.11429717072872249</c:v>
                </c:pt>
                <c:pt idx="2">
                  <c:v>-0.36893174934874678</c:v>
                </c:pt>
                <c:pt idx="3">
                  <c:v>-4.3317447301462912E-2</c:v>
                </c:pt>
                <c:pt idx="4">
                  <c:v>-0.28385012594321907</c:v>
                </c:pt>
                <c:pt idx="5">
                  <c:v>-0.51192235265018582</c:v>
                </c:pt>
                <c:pt idx="6">
                  <c:v>-0.62026945648365106</c:v>
                </c:pt>
                <c:pt idx="7">
                  <c:v>-0.24486452041514598</c:v>
                </c:pt>
                <c:pt idx="8">
                  <c:v>-0.51722006806030352</c:v>
                </c:pt>
                <c:pt idx="9">
                  <c:v>-0.46838279005231254</c:v>
                </c:pt>
                <c:pt idx="10">
                  <c:v>-0.20104840526588283</c:v>
                </c:pt>
                <c:pt idx="11">
                  <c:v>-0.16345477360158189</c:v>
                </c:pt>
                <c:pt idx="12">
                  <c:v>-0.39854568930309098</c:v>
                </c:pt>
                <c:pt idx="13">
                  <c:v>-8.5509192493980923E-2</c:v>
                </c:pt>
                <c:pt idx="14">
                  <c:v>-0.32475964204923513</c:v>
                </c:pt>
                <c:pt idx="15">
                  <c:v>-0.10472083546011081</c:v>
                </c:pt>
                <c:pt idx="16">
                  <c:v>-3.3455684384035921E-2</c:v>
                </c:pt>
                <c:pt idx="17">
                  <c:v>-0.30729613962769736</c:v>
                </c:pt>
                <c:pt idx="18">
                  <c:v>-3.8581330482135218E-2</c:v>
                </c:pt>
                <c:pt idx="19">
                  <c:v>-8.6006673320904781E-2</c:v>
                </c:pt>
                <c:pt idx="20">
                  <c:v>0.17635230624011339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D-48D6-82C7-A2DB5D6FD1EF}"/>
            </c:ext>
          </c:extLst>
        </c:ser>
        <c:ser>
          <c:idx val="1"/>
          <c:order val="1"/>
          <c:tx>
            <c:strRef>
              <c:f>'CalSim flow actions'!$Q$2</c:f>
              <c:strCache>
                <c:ptCount val="1"/>
                <c:pt idx="0">
                  <c:v>Alt2v1wTUCP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actions'!$Q$3:$Q$23</c:f>
              <c:numCache>
                <c:formatCode>0.000</c:formatCode>
                <c:ptCount val="21"/>
                <c:pt idx="0">
                  <c:v>-5.0557942319256866E-2</c:v>
                </c:pt>
                <c:pt idx="1">
                  <c:v>-0.14729451437369001</c:v>
                </c:pt>
                <c:pt idx="2">
                  <c:v>-5.1314910035462867E-2</c:v>
                </c:pt>
                <c:pt idx="3">
                  <c:v>-7.7834742198289411E-2</c:v>
                </c:pt>
                <c:pt idx="4">
                  <c:v>-0.11616068092959579</c:v>
                </c:pt>
                <c:pt idx="5">
                  <c:v>-7.7333872631343129E-2</c:v>
                </c:pt>
                <c:pt idx="6">
                  <c:v>-1.9865066650450236E-2</c:v>
                </c:pt>
                <c:pt idx="7">
                  <c:v>5.0766927525505781E-3</c:v>
                </c:pt>
                <c:pt idx="8">
                  <c:v>-3.6570515330921489E-2</c:v>
                </c:pt>
                <c:pt idx="9">
                  <c:v>-2.6582259565518823E-2</c:v>
                </c:pt>
                <c:pt idx="10">
                  <c:v>-2.6987596165073211E-2</c:v>
                </c:pt>
                <c:pt idx="11">
                  <c:v>-5.6756981581473576E-2</c:v>
                </c:pt>
                <c:pt idx="12">
                  <c:v>-1.8942976759834887E-3</c:v>
                </c:pt>
                <c:pt idx="13">
                  <c:v>2.2966928315965069E-3</c:v>
                </c:pt>
                <c:pt idx="14">
                  <c:v>1.4886534461242954E-3</c:v>
                </c:pt>
                <c:pt idx="15">
                  <c:v>-1.6714524650427543E-2</c:v>
                </c:pt>
                <c:pt idx="16">
                  <c:v>7.390868475261032E-3</c:v>
                </c:pt>
                <c:pt idx="17">
                  <c:v>-3.5442793317046736E-2</c:v>
                </c:pt>
                <c:pt idx="18">
                  <c:v>1.3952842481453094E-2</c:v>
                </c:pt>
                <c:pt idx="19">
                  <c:v>2.4934296882435827E-2</c:v>
                </c:pt>
                <c:pt idx="20">
                  <c:v>3.3458440413309913E-3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D-48D6-82C7-A2DB5D6FD1EF}"/>
            </c:ext>
          </c:extLst>
        </c:ser>
        <c:ser>
          <c:idx val="2"/>
          <c:order val="2"/>
          <c:tx>
            <c:strRef>
              <c:f>'CalSim flow actions'!$R$2</c:f>
              <c:strCache>
                <c:ptCount val="1"/>
                <c:pt idx="0">
                  <c:v>Alt2v1woTUCP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actions'!$R$3:$R$23</c:f>
              <c:numCache>
                <c:formatCode>0.000</c:formatCode>
                <c:ptCount val="21"/>
                <c:pt idx="0">
                  <c:v>-4.5642210620305941E-2</c:v>
                </c:pt>
                <c:pt idx="1">
                  <c:v>-0.15801216373261828</c:v>
                </c:pt>
                <c:pt idx="2">
                  <c:v>-4.6858070408009211E-2</c:v>
                </c:pt>
                <c:pt idx="3">
                  <c:v>-9.0427675758810042E-2</c:v>
                </c:pt>
                <c:pt idx="4">
                  <c:v>-0.10918685114581468</c:v>
                </c:pt>
                <c:pt idx="5">
                  <c:v>-8.079705512294999E-2</c:v>
                </c:pt>
                <c:pt idx="6">
                  <c:v>-1.3803302279769511E-2</c:v>
                </c:pt>
                <c:pt idx="7">
                  <c:v>2.4385911181065766E-2</c:v>
                </c:pt>
                <c:pt idx="8">
                  <c:v>-3.1835405417210388E-2</c:v>
                </c:pt>
                <c:pt idx="9">
                  <c:v>-3.2599788151726726E-2</c:v>
                </c:pt>
                <c:pt idx="10">
                  <c:v>-3.0380174932026542E-2</c:v>
                </c:pt>
                <c:pt idx="11">
                  <c:v>-4.2881592461328229E-2</c:v>
                </c:pt>
                <c:pt idx="12">
                  <c:v>6.0463171147597688E-4</c:v>
                </c:pt>
                <c:pt idx="13">
                  <c:v>-3.9958459355386028E-3</c:v>
                </c:pt>
                <c:pt idx="14">
                  <c:v>-2.8067956938766275E-3</c:v>
                </c:pt>
                <c:pt idx="15">
                  <c:v>-2.1695244537865803E-2</c:v>
                </c:pt>
                <c:pt idx="16">
                  <c:v>4.3679154291693658E-3</c:v>
                </c:pt>
                <c:pt idx="17">
                  <c:v>-3.0393763063091998E-2</c:v>
                </c:pt>
                <c:pt idx="18">
                  <c:v>1.7142542158199388E-2</c:v>
                </c:pt>
                <c:pt idx="19">
                  <c:v>0.11827185835069415</c:v>
                </c:pt>
                <c:pt idx="20">
                  <c:v>0.14676575698285285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3D-48D6-82C7-A2DB5D6FD1EF}"/>
            </c:ext>
          </c:extLst>
        </c:ser>
        <c:ser>
          <c:idx val="3"/>
          <c:order val="3"/>
          <c:tx>
            <c:strRef>
              <c:f>'CalSim flow actions'!$S$2</c:f>
              <c:strCache>
                <c:ptCount val="1"/>
                <c:pt idx="0">
                  <c:v>Alt2v2noTUCP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actions'!$S$3:$S$23</c:f>
              <c:numCache>
                <c:formatCode>0.000</c:formatCode>
                <c:ptCount val="21"/>
                <c:pt idx="0">
                  <c:v>-2.2380507161492966E-2</c:v>
                </c:pt>
                <c:pt idx="1">
                  <c:v>-0.14075655156557379</c:v>
                </c:pt>
                <c:pt idx="2">
                  <c:v>-3.8324065918914747E-2</c:v>
                </c:pt>
                <c:pt idx="3">
                  <c:v>-8.7113406794142034E-2</c:v>
                </c:pt>
                <c:pt idx="4">
                  <c:v>-0.12519208663427414</c:v>
                </c:pt>
                <c:pt idx="5">
                  <c:v>-2.1188065031929527E-2</c:v>
                </c:pt>
                <c:pt idx="6">
                  <c:v>7.7923511462328357E-2</c:v>
                </c:pt>
                <c:pt idx="7">
                  <c:v>0.10329617067897541</c:v>
                </c:pt>
                <c:pt idx="8">
                  <c:v>1.8363045466205655E-2</c:v>
                </c:pt>
                <c:pt idx="9">
                  <c:v>4.0306774232707248E-3</c:v>
                </c:pt>
                <c:pt idx="10">
                  <c:v>2.0929682031746107E-2</c:v>
                </c:pt>
                <c:pt idx="11">
                  <c:v>-1.5762970028455912E-2</c:v>
                </c:pt>
                <c:pt idx="12">
                  <c:v>1.0476068720842373E-2</c:v>
                </c:pt>
                <c:pt idx="13">
                  <c:v>6.156856000809597E-2</c:v>
                </c:pt>
                <c:pt idx="14">
                  <c:v>-4.243996130070979E-3</c:v>
                </c:pt>
                <c:pt idx="15">
                  <c:v>7.5462421437161283E-3</c:v>
                </c:pt>
                <c:pt idx="16">
                  <c:v>1.7553380521405082E-3</c:v>
                </c:pt>
                <c:pt idx="17">
                  <c:v>-1.8061435918718911E-2</c:v>
                </c:pt>
                <c:pt idx="18">
                  <c:v>2.6100201031976047E-2</c:v>
                </c:pt>
                <c:pt idx="19">
                  <c:v>9.2444747465127819E-2</c:v>
                </c:pt>
                <c:pt idx="20">
                  <c:v>0.15548877424720578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3D-48D6-82C7-A2DB5D6FD1EF}"/>
            </c:ext>
          </c:extLst>
        </c:ser>
        <c:ser>
          <c:idx val="4"/>
          <c:order val="4"/>
          <c:tx>
            <c:strRef>
              <c:f>'CalSim flow actions'!$T$2</c:f>
              <c:strCache>
                <c:ptCount val="1"/>
                <c:pt idx="0">
                  <c:v>Alt2v3noTUCP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actions'!$T$3:$T$23</c:f>
              <c:numCache>
                <c:formatCode>0.000</c:formatCode>
                <c:ptCount val="21"/>
                <c:pt idx="0">
                  <c:v>-5.2279190790567885E-2</c:v>
                </c:pt>
                <c:pt idx="1">
                  <c:v>-0.14447217272743412</c:v>
                </c:pt>
                <c:pt idx="2">
                  <c:v>-4.5190369976453398E-2</c:v>
                </c:pt>
                <c:pt idx="3">
                  <c:v>-8.8427138718822157E-2</c:v>
                </c:pt>
                <c:pt idx="4">
                  <c:v>-9.9533113343440241E-2</c:v>
                </c:pt>
                <c:pt idx="5">
                  <c:v>-2.879270663495206E-3</c:v>
                </c:pt>
                <c:pt idx="6">
                  <c:v>0.11488754565502429</c:v>
                </c:pt>
                <c:pt idx="7">
                  <c:v>9.6518540211340945E-2</c:v>
                </c:pt>
                <c:pt idx="8">
                  <c:v>2.0797955387290831E-2</c:v>
                </c:pt>
                <c:pt idx="9">
                  <c:v>5.4308576007518657E-3</c:v>
                </c:pt>
                <c:pt idx="10">
                  <c:v>3.6309993230995312E-2</c:v>
                </c:pt>
                <c:pt idx="11">
                  <c:v>3.8096384023390746E-3</c:v>
                </c:pt>
                <c:pt idx="12">
                  <c:v>1.9110443388310175E-3</c:v>
                </c:pt>
                <c:pt idx="13">
                  <c:v>6.6092182712500572E-2</c:v>
                </c:pt>
                <c:pt idx="14">
                  <c:v>-1.7120128086061569E-2</c:v>
                </c:pt>
                <c:pt idx="15">
                  <c:v>-2.6469692722311304E-2</c:v>
                </c:pt>
                <c:pt idx="16">
                  <c:v>7.406210368469065E-3</c:v>
                </c:pt>
                <c:pt idx="17">
                  <c:v>-2.1317115778368916E-2</c:v>
                </c:pt>
                <c:pt idx="18">
                  <c:v>2.5979435897984692E-2</c:v>
                </c:pt>
                <c:pt idx="19">
                  <c:v>9.4519840027268667E-2</c:v>
                </c:pt>
                <c:pt idx="20">
                  <c:v>0.13591841000984978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3D-48D6-82C7-A2DB5D6FD1EF}"/>
            </c:ext>
          </c:extLst>
        </c:ser>
        <c:ser>
          <c:idx val="5"/>
          <c:order val="5"/>
          <c:tx>
            <c:strRef>
              <c:f>'CalSim flow actions'!$U$2</c:f>
              <c:strCache>
                <c:ptCount val="1"/>
                <c:pt idx="0">
                  <c:v>Alt3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actions'!$U$3:$U$23</c:f>
              <c:numCache>
                <c:formatCode>0.000</c:formatCode>
                <c:ptCount val="21"/>
                <c:pt idx="0">
                  <c:v>0.19840078502976644</c:v>
                </c:pt>
                <c:pt idx="1">
                  <c:v>0.43169803604758872</c:v>
                </c:pt>
                <c:pt idx="2">
                  <c:v>0.30147978210243936</c:v>
                </c:pt>
                <c:pt idx="3">
                  <c:v>0.66258622753457563</c:v>
                </c:pt>
                <c:pt idx="4">
                  <c:v>0.13896410367767953</c:v>
                </c:pt>
                <c:pt idx="5">
                  <c:v>-9.7591016665957084E-2</c:v>
                </c:pt>
                <c:pt idx="6">
                  <c:v>0.65444743099912106</c:v>
                </c:pt>
                <c:pt idx="7">
                  <c:v>0.31522470454814361</c:v>
                </c:pt>
                <c:pt idx="8">
                  <c:v>3.7385644467423013E-2</c:v>
                </c:pt>
                <c:pt idx="9">
                  <c:v>0.11768032504270824</c:v>
                </c:pt>
                <c:pt idx="10">
                  <c:v>0.20399198143431682</c:v>
                </c:pt>
                <c:pt idx="11">
                  <c:v>0.34137276498818792</c:v>
                </c:pt>
                <c:pt idx="12">
                  <c:v>0.43253542974521325</c:v>
                </c:pt>
                <c:pt idx="13">
                  <c:v>0.33817394684024721</c:v>
                </c:pt>
                <c:pt idx="14">
                  <c:v>0.112869663718488</c:v>
                </c:pt>
                <c:pt idx="15">
                  <c:v>0.10586598488712938</c:v>
                </c:pt>
                <c:pt idx="16">
                  <c:v>-5.3126247829554052E-2</c:v>
                </c:pt>
                <c:pt idx="17">
                  <c:v>0.10873844592201032</c:v>
                </c:pt>
                <c:pt idx="18">
                  <c:v>0.23026802811267036</c:v>
                </c:pt>
                <c:pt idx="19">
                  <c:v>0.48343880859739446</c:v>
                </c:pt>
                <c:pt idx="20">
                  <c:v>0.32564114608156985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3D-48D6-82C7-A2DB5D6FD1EF}"/>
            </c:ext>
          </c:extLst>
        </c:ser>
        <c:ser>
          <c:idx val="6"/>
          <c:order val="6"/>
          <c:tx>
            <c:strRef>
              <c:f>'CalSim flow actions'!$V$2</c:f>
              <c:strCache>
                <c:ptCount val="1"/>
                <c:pt idx="0">
                  <c:v>Alt4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actions'!$V$3:$V$23</c:f>
              <c:numCache>
                <c:formatCode>0.000</c:formatCode>
                <c:ptCount val="21"/>
                <c:pt idx="0">
                  <c:v>-4.5174926138701881E-2</c:v>
                </c:pt>
                <c:pt idx="1">
                  <c:v>-0.16172029457668249</c:v>
                </c:pt>
                <c:pt idx="2">
                  <c:v>-5.1229991285484493E-2</c:v>
                </c:pt>
                <c:pt idx="3">
                  <c:v>-4.4470841290185505E-2</c:v>
                </c:pt>
                <c:pt idx="4">
                  <c:v>-0.1596754916157094</c:v>
                </c:pt>
                <c:pt idx="5">
                  <c:v>-0.1687603948221611</c:v>
                </c:pt>
                <c:pt idx="6">
                  <c:v>-2.17698638208586E-2</c:v>
                </c:pt>
                <c:pt idx="7">
                  <c:v>5.8983554276440661E-3</c:v>
                </c:pt>
                <c:pt idx="8">
                  <c:v>-9.4939607154317401E-2</c:v>
                </c:pt>
                <c:pt idx="9">
                  <c:v>-9.5366617010800209E-2</c:v>
                </c:pt>
                <c:pt idx="10">
                  <c:v>-2.3328709296302801E-2</c:v>
                </c:pt>
                <c:pt idx="11">
                  <c:v>-8.592253065163899E-2</c:v>
                </c:pt>
                <c:pt idx="12">
                  <c:v>-6.8938744347720557E-2</c:v>
                </c:pt>
                <c:pt idx="13">
                  <c:v>-7.8253043959111684E-3</c:v>
                </c:pt>
                <c:pt idx="14">
                  <c:v>-3.2314989175008517E-2</c:v>
                </c:pt>
                <c:pt idx="15">
                  <c:v>-1.8165515216503336E-2</c:v>
                </c:pt>
                <c:pt idx="16">
                  <c:v>1.9146866028911268E-2</c:v>
                </c:pt>
                <c:pt idx="17">
                  <c:v>-2.8443898543024874E-2</c:v>
                </c:pt>
                <c:pt idx="18">
                  <c:v>1.404831853634159E-2</c:v>
                </c:pt>
                <c:pt idx="19">
                  <c:v>-5.2510278562967819E-2</c:v>
                </c:pt>
                <c:pt idx="20">
                  <c:v>-8.4704418065145604E-3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3D-48D6-82C7-A2DB5D6FD1EF}"/>
            </c:ext>
          </c:extLst>
        </c:ser>
        <c:ser>
          <c:idx val="7"/>
          <c:order val="7"/>
          <c:tx>
            <c:strRef>
              <c:f>'CalSim flow actions'!$X$2</c:f>
              <c:strCache>
                <c:ptCount val="1"/>
                <c:pt idx="0">
                  <c:v>EXP1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actions'!$X$3:$X$23</c:f>
              <c:numCache>
                <c:formatCode>0.000</c:formatCode>
                <c:ptCount val="21"/>
                <c:pt idx="0">
                  <c:v>1.409966601789282</c:v>
                </c:pt>
                <c:pt idx="1">
                  <c:v>0.61953500584536625</c:v>
                </c:pt>
                <c:pt idx="2">
                  <c:v>-1.1271852227221537E-2</c:v>
                </c:pt>
                <c:pt idx="3">
                  <c:v>1.8388308677815117</c:v>
                </c:pt>
                <c:pt idx="4">
                  <c:v>0.30377615892729526</c:v>
                </c:pt>
                <c:pt idx="5">
                  <c:v>-0.10605962359226423</c:v>
                </c:pt>
                <c:pt idx="6">
                  <c:v>-0.18397252774124248</c:v>
                </c:pt>
                <c:pt idx="7">
                  <c:v>-0.19561841951873971</c:v>
                </c:pt>
                <c:pt idx="8">
                  <c:v>7.8009650803830224E-2</c:v>
                </c:pt>
                <c:pt idx="9">
                  <c:v>-0.19694230328066883</c:v>
                </c:pt>
                <c:pt idx="10">
                  <c:v>1.238807287663543</c:v>
                </c:pt>
                <c:pt idx="11">
                  <c:v>0.25350424829275708</c:v>
                </c:pt>
                <c:pt idx="12">
                  <c:v>-0.20927637717048087</c:v>
                </c:pt>
                <c:pt idx="13">
                  <c:v>-0.36070949875537323</c:v>
                </c:pt>
                <c:pt idx="14">
                  <c:v>-0.1513751299591036</c:v>
                </c:pt>
                <c:pt idx="15">
                  <c:v>0.76322728737467593</c:v>
                </c:pt>
                <c:pt idx="16">
                  <c:v>0.72617037985222244</c:v>
                </c:pt>
                <c:pt idx="17">
                  <c:v>-0.40993472224442379</c:v>
                </c:pt>
                <c:pt idx="18">
                  <c:v>-0.45689399513110757</c:v>
                </c:pt>
                <c:pt idx="19">
                  <c:v>-0.23823604066301149</c:v>
                </c:pt>
                <c:pt idx="20">
                  <c:v>-0.26646507441976663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3D-48D6-82C7-A2DB5D6FD1EF}"/>
            </c:ext>
          </c:extLst>
        </c:ser>
        <c:ser>
          <c:idx val="8"/>
          <c:order val="8"/>
          <c:tx>
            <c:strRef>
              <c:f>'CalSim flow actions'!$Y$2</c:f>
              <c:strCache>
                <c:ptCount val="1"/>
                <c:pt idx="0">
                  <c:v>EXP3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actions'!$Y$3:$Y$23</c:f>
              <c:numCache>
                <c:formatCode>0.000</c:formatCode>
                <c:ptCount val="21"/>
                <c:pt idx="0">
                  <c:v>1.2763081161473662</c:v>
                </c:pt>
                <c:pt idx="1">
                  <c:v>0.9551972673357193</c:v>
                </c:pt>
                <c:pt idx="2">
                  <c:v>0.63838749037084785</c:v>
                </c:pt>
                <c:pt idx="3">
                  <c:v>1.7067013149709409</c:v>
                </c:pt>
                <c:pt idx="4">
                  <c:v>0.7565946255652588</c:v>
                </c:pt>
                <c:pt idx="5">
                  <c:v>0.32452184265697492</c:v>
                </c:pt>
                <c:pt idx="6">
                  <c:v>0.30734528492800456</c:v>
                </c:pt>
                <c:pt idx="7">
                  <c:v>0.37260920271741643</c:v>
                </c:pt>
                <c:pt idx="8">
                  <c:v>0.69173748707840221</c:v>
                </c:pt>
                <c:pt idx="9">
                  <c:v>0.3761453972116473</c:v>
                </c:pt>
                <c:pt idx="10">
                  <c:v>1.4288076037959616</c:v>
                </c:pt>
                <c:pt idx="11">
                  <c:v>0.38634450162716977</c:v>
                </c:pt>
                <c:pt idx="12">
                  <c:v>0.35957735511807454</c:v>
                </c:pt>
                <c:pt idx="13">
                  <c:v>4.375496661089389E-2</c:v>
                </c:pt>
                <c:pt idx="14">
                  <c:v>0.57696276202415842</c:v>
                </c:pt>
                <c:pt idx="15">
                  <c:v>0.83479303785448733</c:v>
                </c:pt>
                <c:pt idx="16">
                  <c:v>0.71103408454913686</c:v>
                </c:pt>
                <c:pt idx="17">
                  <c:v>-1.6041351386815509E-2</c:v>
                </c:pt>
                <c:pt idx="18">
                  <c:v>-0.10891532670106556</c:v>
                </c:pt>
                <c:pt idx="19">
                  <c:v>0.13472824044524789</c:v>
                </c:pt>
                <c:pt idx="20">
                  <c:v>9.7191352245551962E-2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3D-48D6-82C7-A2DB5D6FD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793184"/>
        <c:axId val="2062795680"/>
      </c:scatterChart>
      <c:valAx>
        <c:axId val="2062793184"/>
        <c:scaling>
          <c:orientation val="minMax"/>
          <c:max val="2016"/>
          <c:min val="199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2795680"/>
        <c:crossesAt val="-4"/>
        <c:crossBetween val="midCat"/>
      </c:valAx>
      <c:valAx>
        <c:axId val="2062795680"/>
        <c:scaling>
          <c:orientation val="minMax"/>
          <c:max val="16"/>
          <c:min val="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Proportional change in lambda vs NAA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279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702417039419373"/>
          <c:y val="1.1854292272043428E-2"/>
          <c:w val="0.18297582960580633"/>
          <c:h val="0.46718090681039726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1534066716236"/>
          <c:y val="5.0925925925925923E-2"/>
          <c:w val="0.81628465933283767"/>
          <c:h val="0.609601195683872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'CalSim flow actions'!$P$2:$Y$2</c:f>
              <c:strCache>
                <c:ptCount val="10"/>
                <c:pt idx="0">
                  <c:v>Alt1</c:v>
                </c:pt>
                <c:pt idx="1">
                  <c:v>Alt2v1wTUCP</c:v>
                </c:pt>
                <c:pt idx="2">
                  <c:v>Alt2v1woTUCP</c:v>
                </c:pt>
                <c:pt idx="3">
                  <c:v>Alt2v2noTUCP</c:v>
                </c:pt>
                <c:pt idx="4">
                  <c:v>Alt2v3noTUCP</c:v>
                </c:pt>
                <c:pt idx="5">
                  <c:v>Alt3</c:v>
                </c:pt>
                <c:pt idx="6">
                  <c:v>Alt4</c:v>
                </c:pt>
                <c:pt idx="7">
                  <c:v>Alt5</c:v>
                </c:pt>
                <c:pt idx="8">
                  <c:v>EXP1</c:v>
                </c:pt>
                <c:pt idx="9">
                  <c:v>EXP3</c:v>
                </c:pt>
              </c:strCache>
            </c:strRef>
          </c:cat>
          <c:val>
            <c:numRef>
              <c:f>'CalSim flow actions'!$P$25:$Y$25</c:f>
              <c:numCache>
                <c:formatCode>General</c:formatCode>
                <c:ptCount val="10"/>
                <c:pt idx="0">
                  <c:v>-0.25906317310290944</c:v>
                </c:pt>
                <c:pt idx="1">
                  <c:v>-3.3509284227618057E-2</c:v>
                </c:pt>
                <c:pt idx="2">
                  <c:v>-2.2609664814778788E-2</c:v>
                </c:pt>
                <c:pt idx="3">
                  <c:v>2.6857594171786113E-3</c:v>
                </c:pt>
                <c:pt idx="4">
                  <c:v>2.9151699040384877E-3</c:v>
                </c:pt>
                <c:pt idx="5">
                  <c:v>0.24100629787260805</c:v>
                </c:pt>
                <c:pt idx="6">
                  <c:v>-5.5447325337418023E-2</c:v>
                </c:pt>
                <c:pt idx="7">
                  <c:v>-5.1806951105298198E-2</c:v>
                </c:pt>
                <c:pt idx="8">
                  <c:v>7.7134037518460152E-2</c:v>
                </c:pt>
                <c:pt idx="9">
                  <c:v>0.49951182035394537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0-4F49-8D28-04F377B05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34963936"/>
        <c:axId val="34966848"/>
      </c:barChart>
      <c:catAx>
        <c:axId val="349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966848"/>
        <c:crosses val="autoZero"/>
        <c:auto val="1"/>
        <c:lblAlgn val="ctr"/>
        <c:lblOffset val="100"/>
        <c:noMultiLvlLbl val="0"/>
      </c:catAx>
      <c:valAx>
        <c:axId val="34966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 b="0" i="0" baseline="0">
                    <a:effectLst/>
                  </a:rPr>
                  <a:t>Mean proportional change in lambda vs NAA</a:t>
                </a:r>
                <a:endParaRPr lang="en-US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96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975360</xdr:colOff>
      <xdr:row>36</xdr:row>
      <xdr:rowOff>133350</xdr:rowOff>
    </xdr:from>
    <xdr:to>
      <xdr:col>7</xdr:col>
      <xdr:colOff>358140</xdr:colOff>
      <xdr:row>54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32</xdr:row>
      <xdr:rowOff>66675</xdr:rowOff>
    </xdr:from>
    <xdr:to>
      <xdr:col>12</xdr:col>
      <xdr:colOff>541020</xdr:colOff>
      <xdr:row>46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226695</xdr:colOff>
      <xdr:row>32</xdr:row>
      <xdr:rowOff>158115</xdr:rowOff>
    </xdr:from>
    <xdr:to>
      <xdr:col>25</xdr:col>
      <xdr:colOff>87630</xdr:colOff>
      <xdr:row>50</xdr:row>
      <xdr:rowOff>135255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83FF4C-D233-4A59-8914-86AA4DE36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270510</xdr:colOff>
      <xdr:row>25</xdr:row>
      <xdr:rowOff>167640</xdr:rowOff>
    </xdr:from>
    <xdr:to>
      <xdr:col>32</xdr:col>
      <xdr:colOff>100965</xdr:colOff>
      <xdr:row>40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A5927C-A1E4-45EA-B69C-C5606DEFC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0"/>
  <sheetViews>
    <sheetView workbookViewId="0">
      <selection activeCell="A2" sqref="A2:M30"/>
    </sheetView>
  </sheetViews>
  <sheetFormatPr defaultColWidth="9.140625" defaultRowHeight="15" x14ac:dyDescent="0.25"/>
  <cols>
    <col min="1" max="1" width="15.42578125" bestFit="1" customWidth="1"/>
    <col min="2" max="2" width="15.42578125" customWidth="1"/>
    <col min="4" max="4" width="12.7109375" bestFit="1" customWidth="1"/>
    <col min="5" max="5" width="20.140625" bestFit="1" customWidth="1"/>
    <col min="6" max="6" width="14.28515625" bestFit="1" customWidth="1"/>
    <col min="7" max="7" width="15.85546875" bestFit="1" customWidth="1"/>
    <col min="8" max="8" width="15.85546875" customWidth="1"/>
    <col min="9" max="9" width="14.28515625" bestFit="1" customWidth="1"/>
    <col min="10" max="10" width="14.28515625" customWidth="1"/>
    <col min="11" max="11" width="15.85546875" bestFit="1" customWidth="1"/>
    <col min="12" max="12" width="12" bestFit="1" customWidth="1"/>
    <col min="13" max="13" width="12.140625" bestFit="1" customWidth="1"/>
    <col min="15" max="15" width="15.42578125" bestFit="1" customWidth="1"/>
  </cols>
  <sheetData>
    <row r="1" spans="1:25" x14ac:dyDescent="0.25">
      <c r="A1" t="s">
        <v>5</v>
      </c>
      <c r="O1" t="s">
        <v>5</v>
      </c>
    </row>
    <row r="2" spans="1:25" x14ac:dyDescent="0.25">
      <c r="B2" t="s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14</v>
      </c>
      <c r="I2" s="1" t="s">
        <v>13</v>
      </c>
      <c r="J2" s="1" t="s">
        <v>18</v>
      </c>
      <c r="K2" s="1" t="s">
        <v>6</v>
      </c>
      <c r="L2" s="1" t="s">
        <v>7</v>
      </c>
      <c r="M2" s="1" t="s">
        <v>4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14</v>
      </c>
      <c r="V2" s="1" t="s">
        <v>13</v>
      </c>
      <c r="W2" s="1" t="s">
        <v>18</v>
      </c>
      <c r="X2" s="1" t="s">
        <v>6</v>
      </c>
      <c r="Y2" s="1" t="s">
        <v>7</v>
      </c>
    </row>
    <row r="3" spans="1:25" x14ac:dyDescent="0.25">
      <c r="A3">
        <v>1995</v>
      </c>
      <c r="B3" s="2">
        <v>3.5610191700696698</v>
      </c>
      <c r="C3">
        <v>1.6550229305595801</v>
      </c>
      <c r="D3">
        <v>1.8043155513192</v>
      </c>
      <c r="E3">
        <v>1.8136573864304399</v>
      </c>
      <c r="F3">
        <v>1.8578638263720599</v>
      </c>
      <c r="G3">
        <v>1.80104449822086</v>
      </c>
      <c r="H3">
        <v>2.2774356324853602</v>
      </c>
      <c r="I3">
        <v>1.81454541182412</v>
      </c>
      <c r="J3">
        <v>1.8308739130195499</v>
      </c>
      <c r="K3">
        <v>4.5798900339323803</v>
      </c>
      <c r="L3">
        <v>4.3258860299402002</v>
      </c>
      <c r="M3">
        <v>1.9003956447081201</v>
      </c>
      <c r="O3">
        <v>1995</v>
      </c>
      <c r="P3" s="3">
        <f t="shared" ref="P3:Y3" si="0">(C3-$M3)/$M3</f>
        <v>-0.12911664727911254</v>
      </c>
      <c r="Q3" s="3">
        <f t="shared" si="0"/>
        <v>-5.0557942319256866E-2</v>
      </c>
      <c r="R3" s="3">
        <f t="shared" si="0"/>
        <v>-4.5642210620305941E-2</v>
      </c>
      <c r="S3" s="3">
        <f t="shared" si="0"/>
        <v>-2.2380507161492966E-2</v>
      </c>
      <c r="T3" s="3">
        <f t="shared" si="0"/>
        <v>-5.2279190790567885E-2</v>
      </c>
      <c r="U3" s="3">
        <f t="shared" si="0"/>
        <v>0.19840078502976644</v>
      </c>
      <c r="V3" s="3">
        <f t="shared" si="0"/>
        <v>-4.5174926138701881E-2</v>
      </c>
      <c r="W3" s="3">
        <f t="shared" si="0"/>
        <v>-3.6582767321195316E-2</v>
      </c>
      <c r="X3" s="3">
        <f t="shared" si="0"/>
        <v>1.409966601789282</v>
      </c>
      <c r="Y3" s="3">
        <f t="shared" si="0"/>
        <v>1.2763081161473662</v>
      </c>
    </row>
    <row r="4" spans="1:25" x14ac:dyDescent="0.25">
      <c r="A4">
        <v>1996</v>
      </c>
      <c r="B4" s="2">
        <v>1.3718316888875199</v>
      </c>
      <c r="C4">
        <v>0.65918984419760096</v>
      </c>
      <c r="D4">
        <v>0.63463136578090995</v>
      </c>
      <c r="E4">
        <v>0.62665468852801098</v>
      </c>
      <c r="F4">
        <v>0.63949728529976002</v>
      </c>
      <c r="G4">
        <v>0.63673191112025196</v>
      </c>
      <c r="H4">
        <v>1.0655501756686401</v>
      </c>
      <c r="I4">
        <v>0.62389488906415003</v>
      </c>
      <c r="J4">
        <v>0.61912038487408005</v>
      </c>
      <c r="K4">
        <v>1.2053490097283901</v>
      </c>
      <c r="L4">
        <v>1.45516773734484</v>
      </c>
      <c r="M4">
        <v>0.74425622501393296</v>
      </c>
      <c r="O4">
        <v>1996</v>
      </c>
      <c r="P4" s="3">
        <f t="shared" ref="P4:P23" si="1">(C4-$M4)/$M4</f>
        <v>-0.11429717072872249</v>
      </c>
      <c r="Q4" s="3">
        <f t="shared" ref="Q4:Q23" si="2">(D4-$M4)/$M4</f>
        <v>-0.14729451437369001</v>
      </c>
      <c r="R4" s="3">
        <f t="shared" ref="R4:R23" si="3">(E4-$M4)/$M4</f>
        <v>-0.15801216373261828</v>
      </c>
      <c r="S4" s="3">
        <f t="shared" ref="S4:S23" si="4">(F4-$M4)/$M4</f>
        <v>-0.14075655156557379</v>
      </c>
      <c r="T4" s="3">
        <f t="shared" ref="T4:T23" si="5">(G4-$M4)/$M4</f>
        <v>-0.14447217272743412</v>
      </c>
      <c r="U4" s="3">
        <f t="shared" ref="U4:U23" si="6">(H4-$M4)/$M4</f>
        <v>0.43169803604758872</v>
      </c>
      <c r="V4" s="3">
        <f t="shared" ref="V4:V23" si="7">(I4-$M4)/$M4</f>
        <v>-0.16172029457668249</v>
      </c>
      <c r="W4" s="3">
        <f t="shared" ref="W4:W23" si="8">(J4-$M4)/$M4</f>
        <v>-0.16813542961969888</v>
      </c>
      <c r="X4" s="3">
        <f t="shared" ref="X4:X23" si="9">(K4-$M4)/$M4</f>
        <v>0.61953500584536625</v>
      </c>
      <c r="Y4" s="3">
        <f t="shared" ref="Y4:Y23" si="10">(L4-$M4)/$M4</f>
        <v>0.9551972673357193</v>
      </c>
    </row>
    <row r="5" spans="1:25" x14ac:dyDescent="0.25">
      <c r="A5">
        <v>1997</v>
      </c>
      <c r="B5" s="2">
        <v>0.67949216598212003</v>
      </c>
      <c r="C5">
        <v>0.38191871032092101</v>
      </c>
      <c r="D5">
        <v>0.57413851146216499</v>
      </c>
      <c r="E5">
        <v>0.57683576400318204</v>
      </c>
      <c r="F5">
        <v>0.58200049220014705</v>
      </c>
      <c r="G5">
        <v>0.57784504627552602</v>
      </c>
      <c r="H5">
        <v>0.78764773758838103</v>
      </c>
      <c r="I5">
        <v>0.57418990377898704</v>
      </c>
      <c r="J5">
        <v>0.56588323356943904</v>
      </c>
      <c r="K5">
        <v>0.59837232924597406</v>
      </c>
      <c r="L5">
        <v>0.99154225661427198</v>
      </c>
      <c r="M5">
        <v>0.60519398642981403</v>
      </c>
      <c r="O5">
        <v>1997</v>
      </c>
      <c r="P5" s="3">
        <f t="shared" si="1"/>
        <v>-0.36893174934874678</v>
      </c>
      <c r="Q5" s="3">
        <f t="shared" si="2"/>
        <v>-5.1314910035462867E-2</v>
      </c>
      <c r="R5" s="3">
        <f t="shared" si="3"/>
        <v>-4.6858070408009211E-2</v>
      </c>
      <c r="S5" s="3">
        <f t="shared" si="4"/>
        <v>-3.8324065918914747E-2</v>
      </c>
      <c r="T5" s="3">
        <f t="shared" si="5"/>
        <v>-4.5190369976453398E-2</v>
      </c>
      <c r="U5" s="3">
        <f t="shared" si="6"/>
        <v>0.30147978210243936</v>
      </c>
      <c r="V5" s="3">
        <f t="shared" si="7"/>
        <v>-5.1229991285484493E-2</v>
      </c>
      <c r="W5" s="3">
        <f t="shared" si="8"/>
        <v>-6.4955623720385353E-2</v>
      </c>
      <c r="X5" s="3">
        <f t="shared" si="9"/>
        <v>-1.1271852227221537E-2</v>
      </c>
      <c r="Y5" s="3">
        <f t="shared" si="10"/>
        <v>0.63838749037084785</v>
      </c>
    </row>
    <row r="6" spans="1:25" x14ac:dyDescent="0.25">
      <c r="A6">
        <v>1998</v>
      </c>
      <c r="B6" s="2">
        <v>4.78332184724092</v>
      </c>
      <c r="C6">
        <v>1.7345691329723101</v>
      </c>
      <c r="D6">
        <v>1.6719855370732799</v>
      </c>
      <c r="E6">
        <v>1.6491531839734599</v>
      </c>
      <c r="F6">
        <v>1.6551623127364601</v>
      </c>
      <c r="G6">
        <v>1.6527803744026599</v>
      </c>
      <c r="H6">
        <v>3.0144489862930501</v>
      </c>
      <c r="I6">
        <v>1.73247790469042</v>
      </c>
      <c r="J6">
        <v>1.7383272235042699</v>
      </c>
      <c r="K6">
        <v>5.1471079754649498</v>
      </c>
      <c r="L6">
        <v>4.9075427788256096</v>
      </c>
      <c r="M6">
        <v>1.8131083587545</v>
      </c>
      <c r="O6">
        <v>1998</v>
      </c>
      <c r="P6" s="3">
        <f t="shared" si="1"/>
        <v>-4.3317447301462912E-2</v>
      </c>
      <c r="Q6" s="3">
        <f t="shared" si="2"/>
        <v>-7.7834742198289411E-2</v>
      </c>
      <c r="R6" s="3">
        <f t="shared" si="3"/>
        <v>-9.0427675758810042E-2</v>
      </c>
      <c r="S6" s="3">
        <f t="shared" si="4"/>
        <v>-8.7113406794142034E-2</v>
      </c>
      <c r="T6" s="3">
        <f t="shared" si="5"/>
        <v>-8.8427138718822157E-2</v>
      </c>
      <c r="U6" s="3">
        <f t="shared" si="6"/>
        <v>0.66258622753457563</v>
      </c>
      <c r="V6" s="3">
        <f t="shared" si="7"/>
        <v>-4.4470841290185505E-2</v>
      </c>
      <c r="W6" s="3">
        <f t="shared" si="8"/>
        <v>-4.1244713747610982E-2</v>
      </c>
      <c r="X6" s="3">
        <f t="shared" si="9"/>
        <v>1.8388308677815117</v>
      </c>
      <c r="Y6" s="3">
        <f t="shared" si="10"/>
        <v>1.7067013149709409</v>
      </c>
    </row>
    <row r="7" spans="1:25" x14ac:dyDescent="0.25">
      <c r="A7">
        <v>1999</v>
      </c>
      <c r="B7" s="2">
        <v>0.78679273628624502</v>
      </c>
      <c r="C7">
        <v>0.55529684037375304</v>
      </c>
      <c r="D7">
        <v>0.685321884506778</v>
      </c>
      <c r="E7">
        <v>0.690729335913983</v>
      </c>
      <c r="F7">
        <v>0.67831900531400202</v>
      </c>
      <c r="G7">
        <v>0.69821476639948798</v>
      </c>
      <c r="H7">
        <v>0.88314358625607103</v>
      </c>
      <c r="I7">
        <v>0.65158085101810204</v>
      </c>
      <c r="J7">
        <v>0.63829058864321297</v>
      </c>
      <c r="K7">
        <v>1.0109375255570501</v>
      </c>
      <c r="L7">
        <v>1.36204931499655</v>
      </c>
      <c r="M7">
        <v>0.77539194027663205</v>
      </c>
      <c r="O7">
        <v>1999</v>
      </c>
      <c r="P7" s="3">
        <f t="shared" si="1"/>
        <v>-0.28385012594321907</v>
      </c>
      <c r="Q7" s="3">
        <f t="shared" si="2"/>
        <v>-0.11616068092959579</v>
      </c>
      <c r="R7" s="3">
        <f t="shared" si="3"/>
        <v>-0.10918685114581468</v>
      </c>
      <c r="S7" s="3">
        <f t="shared" si="4"/>
        <v>-0.12519208663427414</v>
      </c>
      <c r="T7" s="3">
        <f t="shared" si="5"/>
        <v>-9.9533113343440241E-2</v>
      </c>
      <c r="U7" s="3">
        <f t="shared" si="6"/>
        <v>0.13896410367767953</v>
      </c>
      <c r="V7" s="3">
        <f t="shared" si="7"/>
        <v>-0.1596754916157094</v>
      </c>
      <c r="W7" s="3">
        <f t="shared" si="8"/>
        <v>-0.17681554902996055</v>
      </c>
      <c r="X7" s="3">
        <f t="shared" si="9"/>
        <v>0.30377615892729526</v>
      </c>
      <c r="Y7" s="3">
        <f t="shared" si="10"/>
        <v>0.7565946255652588</v>
      </c>
    </row>
    <row r="8" spans="1:25" x14ac:dyDescent="0.25">
      <c r="A8">
        <v>2000</v>
      </c>
      <c r="B8" s="2">
        <v>0.68743684932182003</v>
      </c>
      <c r="C8">
        <v>0.42026616042846698</v>
      </c>
      <c r="D8">
        <v>0.79447471690648797</v>
      </c>
      <c r="E8">
        <v>0.79149269464729699</v>
      </c>
      <c r="F8">
        <v>0.84281985852910601</v>
      </c>
      <c r="G8">
        <v>0.85858490483490701</v>
      </c>
      <c r="H8">
        <v>0.77703201656792498</v>
      </c>
      <c r="I8">
        <v>0.71575061706070198</v>
      </c>
      <c r="J8">
        <v>0.72304145630630601</v>
      </c>
      <c r="K8">
        <v>0.76974000281473998</v>
      </c>
      <c r="L8">
        <v>1.1404982634210299</v>
      </c>
      <c r="M8">
        <v>0.86106414155708</v>
      </c>
      <c r="O8">
        <v>2000</v>
      </c>
      <c r="P8" s="3">
        <f t="shared" si="1"/>
        <v>-0.51192235265018582</v>
      </c>
      <c r="Q8" s="3">
        <f t="shared" si="2"/>
        <v>-7.7333872631343129E-2</v>
      </c>
      <c r="R8" s="3">
        <f t="shared" si="3"/>
        <v>-8.079705512294999E-2</v>
      </c>
      <c r="S8" s="3">
        <f t="shared" si="4"/>
        <v>-2.1188065031929527E-2</v>
      </c>
      <c r="T8" s="3">
        <f t="shared" si="5"/>
        <v>-2.879270663495206E-3</v>
      </c>
      <c r="U8" s="3">
        <f t="shared" si="6"/>
        <v>-9.7591016665957084E-2</v>
      </c>
      <c r="V8" s="3">
        <f t="shared" si="7"/>
        <v>-0.1687603948221611</v>
      </c>
      <c r="W8" s="3">
        <f t="shared" si="8"/>
        <v>-0.16029315191454233</v>
      </c>
      <c r="X8" s="3">
        <f t="shared" si="9"/>
        <v>-0.10605962359226423</v>
      </c>
      <c r="Y8" s="3">
        <f t="shared" si="10"/>
        <v>0.32452184265697492</v>
      </c>
    </row>
    <row r="9" spans="1:25" x14ac:dyDescent="0.25">
      <c r="A9">
        <v>2001</v>
      </c>
      <c r="B9" s="2">
        <v>0.105759035305317</v>
      </c>
      <c r="C9">
        <v>0.13653245922885299</v>
      </c>
      <c r="D9">
        <v>0.35240839882705</v>
      </c>
      <c r="E9">
        <v>0.35458791167089698</v>
      </c>
      <c r="F9">
        <v>0.38756837023887197</v>
      </c>
      <c r="G9">
        <v>0.40085882205403101</v>
      </c>
      <c r="H9">
        <v>0.59485806521497997</v>
      </c>
      <c r="I9">
        <v>0.35172352728735301</v>
      </c>
      <c r="J9">
        <v>0.35640708433755502</v>
      </c>
      <c r="K9">
        <v>0.29340341325742197</v>
      </c>
      <c r="L9">
        <v>0.47005717570038202</v>
      </c>
      <c r="M9">
        <v>0.359550901448555</v>
      </c>
      <c r="O9">
        <v>2001</v>
      </c>
      <c r="P9" s="3">
        <f t="shared" si="1"/>
        <v>-0.62026945648365106</v>
      </c>
      <c r="Q9" s="3">
        <f t="shared" si="2"/>
        <v>-1.9865066650450236E-2</v>
      </c>
      <c r="R9" s="3">
        <f t="shared" si="3"/>
        <v>-1.3803302279769511E-2</v>
      </c>
      <c r="S9" s="3">
        <f t="shared" si="4"/>
        <v>7.7923511462328357E-2</v>
      </c>
      <c r="T9" s="3">
        <f t="shared" si="5"/>
        <v>0.11488754565502429</v>
      </c>
      <c r="U9" s="3">
        <f t="shared" si="6"/>
        <v>0.65444743099912106</v>
      </c>
      <c r="V9" s="3">
        <f t="shared" si="7"/>
        <v>-2.17698638208586E-2</v>
      </c>
      <c r="W9" s="3">
        <f t="shared" si="8"/>
        <v>-8.7437330801680702E-3</v>
      </c>
      <c r="X9" s="3">
        <f t="shared" si="9"/>
        <v>-0.18397252774124248</v>
      </c>
      <c r="Y9" s="3">
        <f t="shared" si="10"/>
        <v>0.30734528492800456</v>
      </c>
    </row>
    <row r="10" spans="1:25" x14ac:dyDescent="0.25">
      <c r="A10">
        <v>2002</v>
      </c>
      <c r="B10" s="2">
        <v>0.55385240221181498</v>
      </c>
      <c r="C10">
        <v>0.68705703738350299</v>
      </c>
      <c r="D10">
        <v>0.91446506426292296</v>
      </c>
      <c r="E10">
        <v>0.93203348048272505</v>
      </c>
      <c r="F10">
        <v>1.00382966881651</v>
      </c>
      <c r="G10">
        <v>0.997663068470658</v>
      </c>
      <c r="H10">
        <v>1.1966520093814501</v>
      </c>
      <c r="I10">
        <v>0.91521265080671599</v>
      </c>
      <c r="J10">
        <v>0.92999030433899299</v>
      </c>
      <c r="K10">
        <v>0.73186340802731797</v>
      </c>
      <c r="L10">
        <v>1.2488630686811599</v>
      </c>
      <c r="M10">
        <v>0.90984605538759999</v>
      </c>
      <c r="O10">
        <v>2002</v>
      </c>
      <c r="P10" s="3">
        <f t="shared" si="1"/>
        <v>-0.24486452041514598</v>
      </c>
      <c r="Q10" s="3">
        <f t="shared" si="2"/>
        <v>5.0766927525505781E-3</v>
      </c>
      <c r="R10" s="3">
        <f t="shared" si="3"/>
        <v>2.4385911181065766E-2</v>
      </c>
      <c r="S10" s="3">
        <f t="shared" si="4"/>
        <v>0.10329617067897541</v>
      </c>
      <c r="T10" s="3">
        <f t="shared" si="5"/>
        <v>9.6518540211340945E-2</v>
      </c>
      <c r="U10" s="3">
        <f t="shared" si="6"/>
        <v>0.31522470454814361</v>
      </c>
      <c r="V10" s="3">
        <f t="shared" si="7"/>
        <v>5.8983554276440661E-3</v>
      </c>
      <c r="W10" s="3">
        <f t="shared" si="8"/>
        <v>2.2140282778729443E-2</v>
      </c>
      <c r="X10" s="3">
        <f t="shared" si="9"/>
        <v>-0.19561841951873971</v>
      </c>
      <c r="Y10" s="3">
        <f t="shared" si="10"/>
        <v>0.37260920271741643</v>
      </c>
    </row>
    <row r="11" spans="1:25" x14ac:dyDescent="0.25">
      <c r="A11">
        <v>2003</v>
      </c>
      <c r="B11" s="2">
        <v>0.87467153263111397</v>
      </c>
      <c r="C11">
        <v>0.72628737884373695</v>
      </c>
      <c r="D11">
        <v>1.4493698449928101</v>
      </c>
      <c r="E11">
        <v>1.4564932781354201</v>
      </c>
      <c r="F11">
        <v>1.53201112571382</v>
      </c>
      <c r="G11">
        <v>1.53567417015148</v>
      </c>
      <c r="H11">
        <v>1.5606284576561</v>
      </c>
      <c r="I11">
        <v>1.3615601994352999</v>
      </c>
      <c r="J11">
        <v>1.36828076210629</v>
      </c>
      <c r="K11">
        <v>1.6217426447385199</v>
      </c>
      <c r="L11">
        <v>2.5450262198043001</v>
      </c>
      <c r="M11">
        <v>1.504386016887</v>
      </c>
      <c r="O11">
        <v>2003</v>
      </c>
      <c r="P11" s="3">
        <f t="shared" si="1"/>
        <v>-0.51722006806030352</v>
      </c>
      <c r="Q11" s="3">
        <f t="shared" si="2"/>
        <v>-3.6570515330921489E-2</v>
      </c>
      <c r="R11" s="3">
        <f t="shared" si="3"/>
        <v>-3.1835405417210388E-2</v>
      </c>
      <c r="S11" s="3">
        <f t="shared" si="4"/>
        <v>1.8363045466205655E-2</v>
      </c>
      <c r="T11" s="3">
        <f t="shared" si="5"/>
        <v>2.0797955387290831E-2</v>
      </c>
      <c r="U11" s="3">
        <f t="shared" si="6"/>
        <v>3.7385644467423013E-2</v>
      </c>
      <c r="V11" s="3">
        <f t="shared" si="7"/>
        <v>-9.4939607154317401E-2</v>
      </c>
      <c r="W11" s="3">
        <f t="shared" si="8"/>
        <v>-9.0472294512780868E-2</v>
      </c>
      <c r="X11" s="3">
        <f t="shared" si="9"/>
        <v>7.8009650803830224E-2</v>
      </c>
      <c r="Y11" s="3">
        <f t="shared" si="10"/>
        <v>0.69173748707840221</v>
      </c>
    </row>
    <row r="12" spans="1:25" x14ac:dyDescent="0.25">
      <c r="A12">
        <v>2004</v>
      </c>
      <c r="B12" s="2">
        <v>0.43938957924639799</v>
      </c>
      <c r="C12">
        <v>0.43228631087939801</v>
      </c>
      <c r="D12">
        <v>0.79153788869699804</v>
      </c>
      <c r="E12">
        <v>0.78664471521715695</v>
      </c>
      <c r="F12">
        <v>0.816430900714742</v>
      </c>
      <c r="G12">
        <v>0.81756946190531998</v>
      </c>
      <c r="H12">
        <v>0.908845491482006</v>
      </c>
      <c r="I12">
        <v>0.73560565857006799</v>
      </c>
      <c r="J12">
        <v>0.73748825888385205</v>
      </c>
      <c r="K12">
        <v>0.65300904982415198</v>
      </c>
      <c r="L12">
        <v>1.1190172286800599</v>
      </c>
      <c r="M12">
        <v>0.81315334189789701</v>
      </c>
      <c r="O12">
        <v>2004</v>
      </c>
      <c r="P12" s="3">
        <f t="shared" si="1"/>
        <v>-0.46838279005231254</v>
      </c>
      <c r="Q12" s="3">
        <f t="shared" si="2"/>
        <v>-2.6582259565518823E-2</v>
      </c>
      <c r="R12" s="3">
        <f t="shared" si="3"/>
        <v>-3.2599788151726726E-2</v>
      </c>
      <c r="S12" s="3">
        <f t="shared" si="4"/>
        <v>4.0306774232707248E-3</v>
      </c>
      <c r="T12" s="3">
        <f t="shared" si="5"/>
        <v>5.4308576007518657E-3</v>
      </c>
      <c r="U12" s="3">
        <f t="shared" si="6"/>
        <v>0.11768032504270824</v>
      </c>
      <c r="V12" s="3">
        <f t="shared" si="7"/>
        <v>-9.5366617010800209E-2</v>
      </c>
      <c r="W12" s="3">
        <f t="shared" si="8"/>
        <v>-9.3051432141252624E-2</v>
      </c>
      <c r="X12" s="3">
        <f t="shared" si="9"/>
        <v>-0.19694230328066883</v>
      </c>
      <c r="Y12" s="3">
        <f t="shared" si="10"/>
        <v>0.3761453972116473</v>
      </c>
    </row>
    <row r="13" spans="1:25" x14ac:dyDescent="0.25">
      <c r="A13">
        <v>2005</v>
      </c>
      <c r="B13" s="2">
        <v>1.9361255272381801</v>
      </c>
      <c r="C13">
        <v>1.0523650122141901</v>
      </c>
      <c r="D13">
        <v>1.2816348537198501</v>
      </c>
      <c r="E13">
        <v>1.2771662085365201</v>
      </c>
      <c r="F13">
        <v>1.34475065120649</v>
      </c>
      <c r="G13">
        <v>1.3650093270633701</v>
      </c>
      <c r="H13">
        <v>1.5858770976852099</v>
      </c>
      <c r="I13">
        <v>1.2864542752589301</v>
      </c>
      <c r="J13">
        <v>1.2820457001475201</v>
      </c>
      <c r="K13">
        <v>2.9489176492742701</v>
      </c>
      <c r="L13">
        <v>3.19918272956857</v>
      </c>
      <c r="M13">
        <v>1.31718244152752</v>
      </c>
      <c r="O13">
        <v>2005</v>
      </c>
      <c r="P13" s="3">
        <f t="shared" si="1"/>
        <v>-0.20104840526588283</v>
      </c>
      <c r="Q13" s="3">
        <f t="shared" si="2"/>
        <v>-2.6987596165073211E-2</v>
      </c>
      <c r="R13" s="3">
        <f t="shared" si="3"/>
        <v>-3.0380174932026542E-2</v>
      </c>
      <c r="S13" s="3">
        <f t="shared" si="4"/>
        <v>2.0929682031746107E-2</v>
      </c>
      <c r="T13" s="3">
        <f t="shared" si="5"/>
        <v>3.6309993230995312E-2</v>
      </c>
      <c r="U13" s="3">
        <f t="shared" si="6"/>
        <v>0.20399198143431682</v>
      </c>
      <c r="V13" s="3">
        <f t="shared" si="7"/>
        <v>-2.3328709296302801E-2</v>
      </c>
      <c r="W13" s="3">
        <f t="shared" si="8"/>
        <v>-2.6675683088557008E-2</v>
      </c>
      <c r="X13" s="3">
        <f t="shared" si="9"/>
        <v>1.238807287663543</v>
      </c>
      <c r="Y13" s="3">
        <f t="shared" si="10"/>
        <v>1.4288076037959616</v>
      </c>
    </row>
    <row r="14" spans="1:25" x14ac:dyDescent="0.25">
      <c r="A14">
        <v>2006</v>
      </c>
      <c r="B14" s="2">
        <v>3.3702507080828501</v>
      </c>
      <c r="C14">
        <v>2.0910576267381602</v>
      </c>
      <c r="D14">
        <v>2.3577631493078499</v>
      </c>
      <c r="E14">
        <v>2.3924465559283798</v>
      </c>
      <c r="F14">
        <v>2.4602332104635201</v>
      </c>
      <c r="G14">
        <v>2.50915758519288</v>
      </c>
      <c r="H14">
        <v>3.3529421506632699</v>
      </c>
      <c r="I14">
        <v>2.284859925553</v>
      </c>
      <c r="J14">
        <v>2.3728191382069701</v>
      </c>
      <c r="K14">
        <v>3.13330294146331</v>
      </c>
      <c r="L14">
        <v>3.4653550721875099</v>
      </c>
      <c r="M14">
        <v>2.4996348801615902</v>
      </c>
      <c r="O14">
        <v>2006</v>
      </c>
      <c r="P14" s="3">
        <f t="shared" si="1"/>
        <v>-0.16345477360158189</v>
      </c>
      <c r="Q14" s="3">
        <f t="shared" si="2"/>
        <v>-5.6756981581473576E-2</v>
      </c>
      <c r="R14" s="3">
        <f t="shared" si="3"/>
        <v>-4.2881592461328229E-2</v>
      </c>
      <c r="S14" s="3">
        <f t="shared" si="4"/>
        <v>-1.5762970028455912E-2</v>
      </c>
      <c r="T14" s="3">
        <f t="shared" si="5"/>
        <v>3.8096384023390746E-3</v>
      </c>
      <c r="U14" s="3">
        <f t="shared" si="6"/>
        <v>0.34137276498818792</v>
      </c>
      <c r="V14" s="3">
        <f t="shared" si="7"/>
        <v>-8.592253065163899E-2</v>
      </c>
      <c r="W14" s="3">
        <f t="shared" si="8"/>
        <v>-5.0733706334911609E-2</v>
      </c>
      <c r="X14" s="3">
        <f t="shared" si="9"/>
        <v>0.25350424829275708</v>
      </c>
      <c r="Y14" s="3">
        <f t="shared" si="10"/>
        <v>0.38634450162716977</v>
      </c>
    </row>
    <row r="15" spans="1:25" x14ac:dyDescent="0.25">
      <c r="A15">
        <v>2007</v>
      </c>
      <c r="B15" s="2">
        <v>0.51297516617647199</v>
      </c>
      <c r="C15">
        <v>0.35751077405502102</v>
      </c>
      <c r="D15">
        <v>0.59328453696362105</v>
      </c>
      <c r="E15">
        <v>0.59476992689886699</v>
      </c>
      <c r="F15">
        <v>0.60063761297823803</v>
      </c>
      <c r="G15">
        <v>0.59554647231775304</v>
      </c>
      <c r="H15">
        <v>0.85151414037755502</v>
      </c>
      <c r="I15">
        <v>0.55343261205525995</v>
      </c>
      <c r="J15">
        <v>0.554374276839535</v>
      </c>
      <c r="K15">
        <v>0.47001444570879303</v>
      </c>
      <c r="L15">
        <v>0.80814709275711405</v>
      </c>
      <c r="M15">
        <v>0.59441052744433898</v>
      </c>
      <c r="O15">
        <v>2007</v>
      </c>
      <c r="P15" s="3">
        <f t="shared" si="1"/>
        <v>-0.39854568930309098</v>
      </c>
      <c r="Q15" s="3">
        <f t="shared" si="2"/>
        <v>-1.8942976759834887E-3</v>
      </c>
      <c r="R15" s="3">
        <f t="shared" si="3"/>
        <v>6.0463171147597688E-4</v>
      </c>
      <c r="S15" s="3">
        <f t="shared" si="4"/>
        <v>1.0476068720842373E-2</v>
      </c>
      <c r="T15" s="3">
        <f t="shared" si="5"/>
        <v>1.9110443388310175E-3</v>
      </c>
      <c r="U15" s="3">
        <f t="shared" si="6"/>
        <v>0.43253542974521325</v>
      </c>
      <c r="V15" s="3">
        <f t="shared" si="7"/>
        <v>-6.8938744347720557E-2</v>
      </c>
      <c r="W15" s="3">
        <f t="shared" si="8"/>
        <v>-6.7354544975741545E-2</v>
      </c>
      <c r="X15" s="3">
        <f t="shared" si="9"/>
        <v>-0.20927637717048087</v>
      </c>
      <c r="Y15" s="3">
        <f t="shared" si="10"/>
        <v>0.35957735511807454</v>
      </c>
    </row>
    <row r="16" spans="1:25" x14ac:dyDescent="0.25">
      <c r="A16">
        <v>2008</v>
      </c>
      <c r="B16" s="2">
        <v>0.94903513426914199</v>
      </c>
      <c r="C16">
        <v>0.90701124229281904</v>
      </c>
      <c r="D16">
        <v>0.994098968572942</v>
      </c>
      <c r="E16">
        <v>0.98785789610123498</v>
      </c>
      <c r="F16">
        <v>1.0528860547191501</v>
      </c>
      <c r="G16">
        <v>1.0573726789860201</v>
      </c>
      <c r="H16">
        <v>1.3272291027588801</v>
      </c>
      <c r="I16">
        <v>0.98405975855087102</v>
      </c>
      <c r="J16">
        <v>0.98742341786158605</v>
      </c>
      <c r="K16">
        <v>0.63406178275452096</v>
      </c>
      <c r="L16">
        <v>1.03521815762901</v>
      </c>
      <c r="M16">
        <v>0.99182106025363104</v>
      </c>
      <c r="O16">
        <v>2008</v>
      </c>
      <c r="P16" s="3">
        <f t="shared" si="1"/>
        <v>-8.5509192493980923E-2</v>
      </c>
      <c r="Q16" s="3">
        <f t="shared" si="2"/>
        <v>2.2966928315965069E-3</v>
      </c>
      <c r="R16" s="3">
        <f t="shared" si="3"/>
        <v>-3.9958459355386028E-3</v>
      </c>
      <c r="S16" s="3">
        <f t="shared" si="4"/>
        <v>6.156856000809597E-2</v>
      </c>
      <c r="T16" s="3">
        <f t="shared" si="5"/>
        <v>6.6092182712500572E-2</v>
      </c>
      <c r="U16" s="3">
        <f t="shared" si="6"/>
        <v>0.33817394684024721</v>
      </c>
      <c r="V16" s="3">
        <f t="shared" si="7"/>
        <v>-7.8253043959111684E-3</v>
      </c>
      <c r="W16" s="3">
        <f t="shared" si="8"/>
        <v>-4.433907050653281E-3</v>
      </c>
      <c r="X16" s="3">
        <f t="shared" si="9"/>
        <v>-0.36070949875537323</v>
      </c>
      <c r="Y16" s="3">
        <f t="shared" si="10"/>
        <v>4.375496661089389E-2</v>
      </c>
    </row>
    <row r="17" spans="1:25" x14ac:dyDescent="0.25">
      <c r="A17">
        <v>2009</v>
      </c>
      <c r="B17" s="2">
        <v>0.64362803023000803</v>
      </c>
      <c r="C17">
        <v>0.49173770944117801</v>
      </c>
      <c r="D17">
        <v>0.72932509243299004</v>
      </c>
      <c r="E17">
        <v>0.72619697028173802</v>
      </c>
      <c r="F17">
        <v>0.72515034200755302</v>
      </c>
      <c r="G17">
        <v>0.71577341487346302</v>
      </c>
      <c r="H17">
        <v>0.81043731006286401</v>
      </c>
      <c r="I17">
        <v>0.704707894130847</v>
      </c>
      <c r="J17">
        <v>0.71464127929330201</v>
      </c>
      <c r="K17">
        <v>0.61800341886430199</v>
      </c>
      <c r="L17">
        <v>1.14840892926654</v>
      </c>
      <c r="M17">
        <v>0.72824099396771103</v>
      </c>
      <c r="O17">
        <v>2009</v>
      </c>
      <c r="P17" s="3">
        <f t="shared" si="1"/>
        <v>-0.32475964204923513</v>
      </c>
      <c r="Q17" s="3">
        <f t="shared" si="2"/>
        <v>1.4886534461242954E-3</v>
      </c>
      <c r="R17" s="3">
        <f t="shared" si="3"/>
        <v>-2.8067956938766275E-3</v>
      </c>
      <c r="S17" s="3">
        <f t="shared" si="4"/>
        <v>-4.243996130070979E-3</v>
      </c>
      <c r="T17" s="3">
        <f t="shared" si="5"/>
        <v>-1.7120128086061569E-2</v>
      </c>
      <c r="U17" s="3">
        <f t="shared" si="6"/>
        <v>0.112869663718488</v>
      </c>
      <c r="V17" s="3">
        <f t="shared" si="7"/>
        <v>-3.2314989175008517E-2</v>
      </c>
      <c r="W17" s="3">
        <f t="shared" si="8"/>
        <v>-1.8674744743924703E-2</v>
      </c>
      <c r="X17" s="3">
        <f t="shared" si="9"/>
        <v>-0.1513751299591036</v>
      </c>
      <c r="Y17" s="3">
        <f t="shared" si="10"/>
        <v>0.57696276202415842</v>
      </c>
    </row>
    <row r="18" spans="1:25" x14ac:dyDescent="0.25">
      <c r="A18">
        <v>2010</v>
      </c>
      <c r="B18" s="2">
        <v>1.2590075767384801</v>
      </c>
      <c r="C18">
        <v>1.13731057815881</v>
      </c>
      <c r="D18">
        <v>1.2491086766659101</v>
      </c>
      <c r="E18">
        <v>1.2427814598164699</v>
      </c>
      <c r="F18">
        <v>1.2799281437127099</v>
      </c>
      <c r="G18">
        <v>1.2367162785410499</v>
      </c>
      <c r="H18">
        <v>1.40482782628424</v>
      </c>
      <c r="I18">
        <v>1.2472654226452999</v>
      </c>
      <c r="J18">
        <v>1.22967893812689</v>
      </c>
      <c r="K18">
        <v>2.2399013906015401</v>
      </c>
      <c r="L18">
        <v>2.3308143575043201</v>
      </c>
      <c r="M18">
        <v>1.2703418366083701</v>
      </c>
      <c r="O18">
        <v>2010</v>
      </c>
      <c r="P18" s="3">
        <f t="shared" si="1"/>
        <v>-0.10472083546011081</v>
      </c>
      <c r="Q18" s="3">
        <f t="shared" si="2"/>
        <v>-1.6714524650427543E-2</v>
      </c>
      <c r="R18" s="3">
        <f t="shared" si="3"/>
        <v>-2.1695244537865803E-2</v>
      </c>
      <c r="S18" s="3">
        <f t="shared" si="4"/>
        <v>7.5462421437161283E-3</v>
      </c>
      <c r="T18" s="3">
        <f t="shared" si="5"/>
        <v>-2.6469692722311304E-2</v>
      </c>
      <c r="U18" s="3">
        <f t="shared" si="6"/>
        <v>0.10586598488712938</v>
      </c>
      <c r="V18" s="3">
        <f t="shared" si="7"/>
        <v>-1.8165515216503336E-2</v>
      </c>
      <c r="W18" s="3">
        <f t="shared" si="8"/>
        <v>-3.2009414560449471E-2</v>
      </c>
      <c r="X18" s="3">
        <f t="shared" si="9"/>
        <v>0.76322728737467593</v>
      </c>
      <c r="Y18" s="3">
        <f t="shared" si="10"/>
        <v>0.83479303785448733</v>
      </c>
    </row>
    <row r="19" spans="1:25" x14ac:dyDescent="0.25">
      <c r="A19">
        <v>2011</v>
      </c>
      <c r="B19" s="2">
        <v>3.6477234139028201</v>
      </c>
      <c r="C19">
        <v>2.6548430707385999</v>
      </c>
      <c r="D19">
        <v>2.7670378103589499</v>
      </c>
      <c r="E19">
        <v>2.75873455326259</v>
      </c>
      <c r="F19">
        <v>2.7515584902160102</v>
      </c>
      <c r="G19">
        <v>2.7670799505052601</v>
      </c>
      <c r="H19">
        <v>2.60081320556105</v>
      </c>
      <c r="I19">
        <v>2.7993284442602402</v>
      </c>
      <c r="J19">
        <v>2.7930508157762901</v>
      </c>
      <c r="K19">
        <v>4.74133611653843</v>
      </c>
      <c r="L19">
        <v>4.6997606936087104</v>
      </c>
      <c r="M19">
        <v>2.7467370381736802</v>
      </c>
      <c r="O19">
        <v>2011</v>
      </c>
      <c r="P19" s="3">
        <f t="shared" si="1"/>
        <v>-3.3455684384035921E-2</v>
      </c>
      <c r="Q19" s="3">
        <f t="shared" si="2"/>
        <v>7.390868475261032E-3</v>
      </c>
      <c r="R19" s="3">
        <f t="shared" si="3"/>
        <v>4.3679154291693658E-3</v>
      </c>
      <c r="S19" s="3">
        <f t="shared" si="4"/>
        <v>1.7553380521405082E-3</v>
      </c>
      <c r="T19" s="3">
        <f t="shared" si="5"/>
        <v>7.406210368469065E-3</v>
      </c>
      <c r="U19" s="3">
        <f t="shared" si="6"/>
        <v>-5.3126247829554052E-2</v>
      </c>
      <c r="V19" s="3">
        <f t="shared" si="7"/>
        <v>1.9146866028911268E-2</v>
      </c>
      <c r="W19" s="3">
        <f t="shared" si="8"/>
        <v>1.6861380233691457E-2</v>
      </c>
      <c r="X19" s="3">
        <f t="shared" si="9"/>
        <v>0.72617037985222244</v>
      </c>
      <c r="Y19" s="3">
        <f t="shared" si="10"/>
        <v>0.71103408454913686</v>
      </c>
    </row>
    <row r="20" spans="1:25" x14ac:dyDescent="0.25">
      <c r="A20">
        <v>2012</v>
      </c>
      <c r="B20" s="2">
        <v>0.95167599485186505</v>
      </c>
      <c r="C20">
        <v>0.65394891974395897</v>
      </c>
      <c r="D20">
        <v>0.91059279358216905</v>
      </c>
      <c r="E20">
        <v>0.91535934400756103</v>
      </c>
      <c r="F20">
        <v>0.92700171021244604</v>
      </c>
      <c r="G20">
        <v>0.92392817699132901</v>
      </c>
      <c r="H20">
        <v>1.04670747554316</v>
      </c>
      <c r="I20">
        <v>0.91720011878808505</v>
      </c>
      <c r="J20">
        <v>0.92495340348706601</v>
      </c>
      <c r="K20">
        <v>0.55705269313684203</v>
      </c>
      <c r="L20">
        <v>0.92890877638170299</v>
      </c>
      <c r="M20">
        <v>0.94405265677671502</v>
      </c>
      <c r="O20">
        <v>2012</v>
      </c>
      <c r="P20" s="3">
        <f t="shared" si="1"/>
        <v>-0.30729613962769736</v>
      </c>
      <c r="Q20" s="3">
        <f t="shared" si="2"/>
        <v>-3.5442793317046736E-2</v>
      </c>
      <c r="R20" s="3">
        <f t="shared" si="3"/>
        <v>-3.0393763063091998E-2</v>
      </c>
      <c r="S20" s="3">
        <f t="shared" si="4"/>
        <v>-1.8061435918718911E-2</v>
      </c>
      <c r="T20" s="3">
        <f t="shared" si="5"/>
        <v>-2.1317115778368916E-2</v>
      </c>
      <c r="U20" s="3">
        <f t="shared" si="6"/>
        <v>0.10873844592201032</v>
      </c>
      <c r="V20" s="3">
        <f t="shared" si="7"/>
        <v>-2.8443898543024874E-2</v>
      </c>
      <c r="W20" s="3">
        <f t="shared" si="8"/>
        <v>-2.0231131338435838E-2</v>
      </c>
      <c r="X20" s="3">
        <f t="shared" si="9"/>
        <v>-0.40993472224442379</v>
      </c>
      <c r="Y20" s="3">
        <f t="shared" si="10"/>
        <v>-1.6041351386815509E-2</v>
      </c>
    </row>
    <row r="21" spans="1:25" x14ac:dyDescent="0.25">
      <c r="A21">
        <v>2013</v>
      </c>
      <c r="B21" s="2">
        <v>0.89601015715500698</v>
      </c>
      <c r="C21">
        <v>0.78870693284017801</v>
      </c>
      <c r="D21">
        <v>0.83180373108332595</v>
      </c>
      <c r="E21">
        <v>0.83442042485939905</v>
      </c>
      <c r="F21">
        <v>0.84176890672246496</v>
      </c>
      <c r="G21">
        <v>0.84166983614952495</v>
      </c>
      <c r="H21">
        <v>1.0092594972289</v>
      </c>
      <c r="I21">
        <v>0.83188205557274797</v>
      </c>
      <c r="J21">
        <v>0.837021719554082</v>
      </c>
      <c r="K21">
        <v>0.44554103731107902</v>
      </c>
      <c r="L21">
        <v>0.73100791763378103</v>
      </c>
      <c r="M21">
        <v>0.82035741331682399</v>
      </c>
      <c r="O21">
        <v>2013</v>
      </c>
      <c r="P21" s="3">
        <f t="shared" si="1"/>
        <v>-3.8581330482135218E-2</v>
      </c>
      <c r="Q21" s="3">
        <f t="shared" si="2"/>
        <v>1.3952842481453094E-2</v>
      </c>
      <c r="R21" s="3">
        <f t="shared" si="3"/>
        <v>1.7142542158199388E-2</v>
      </c>
      <c r="S21" s="3">
        <f t="shared" si="4"/>
        <v>2.6100201031976047E-2</v>
      </c>
      <c r="T21" s="3">
        <f t="shared" si="5"/>
        <v>2.5979435897984692E-2</v>
      </c>
      <c r="U21" s="3">
        <f t="shared" si="6"/>
        <v>0.23026802811267036</v>
      </c>
      <c r="V21" s="3">
        <f t="shared" si="7"/>
        <v>1.404831853634159E-2</v>
      </c>
      <c r="W21" s="3">
        <f t="shared" si="8"/>
        <v>2.0313470649191555E-2</v>
      </c>
      <c r="X21" s="3">
        <f t="shared" si="9"/>
        <v>-0.45689399513110757</v>
      </c>
      <c r="Y21" s="3">
        <f t="shared" si="10"/>
        <v>-0.10891532670106556</v>
      </c>
    </row>
    <row r="22" spans="1:25" x14ac:dyDescent="0.25">
      <c r="A22">
        <v>2014</v>
      </c>
      <c r="B22" s="2">
        <v>0.43448894050783399</v>
      </c>
      <c r="C22">
        <v>0.36240131559226901</v>
      </c>
      <c r="D22">
        <v>0.40638976975402402</v>
      </c>
      <c r="E22">
        <v>0.44339841531292901</v>
      </c>
      <c r="F22">
        <v>0.43315788216058698</v>
      </c>
      <c r="G22">
        <v>0.43398066308528799</v>
      </c>
      <c r="H22">
        <v>0.58818829431680997</v>
      </c>
      <c r="I22">
        <v>0.37568274465037899</v>
      </c>
      <c r="J22">
        <v>0.38656998119102998</v>
      </c>
      <c r="K22">
        <v>0.30204187818039402</v>
      </c>
      <c r="L22">
        <v>0.44992342413615999</v>
      </c>
      <c r="M22">
        <v>0.39650324024686101</v>
      </c>
      <c r="O22">
        <v>2014</v>
      </c>
      <c r="P22" s="3">
        <f t="shared" si="1"/>
        <v>-8.6006673320904781E-2</v>
      </c>
      <c r="Q22" s="3">
        <f t="shared" si="2"/>
        <v>2.4934296882435827E-2</v>
      </c>
      <c r="R22" s="3">
        <f t="shared" si="3"/>
        <v>0.11827185835069415</v>
      </c>
      <c r="S22" s="3">
        <f t="shared" si="4"/>
        <v>9.2444747465127819E-2</v>
      </c>
      <c r="T22" s="3">
        <f t="shared" si="5"/>
        <v>9.4519840027268667E-2</v>
      </c>
      <c r="U22" s="3">
        <f t="shared" si="6"/>
        <v>0.48343880859739446</v>
      </c>
      <c r="V22" s="3">
        <f t="shared" si="7"/>
        <v>-5.2510278562967819E-2</v>
      </c>
      <c r="W22" s="3">
        <f t="shared" si="8"/>
        <v>-2.5052151023145824E-2</v>
      </c>
      <c r="X22" s="3">
        <f t="shared" si="9"/>
        <v>-0.23823604066301149</v>
      </c>
      <c r="Y22" s="3">
        <f t="shared" si="10"/>
        <v>0.13472824044524789</v>
      </c>
    </row>
    <row r="23" spans="1:25" x14ac:dyDescent="0.25">
      <c r="A23">
        <v>2015</v>
      </c>
      <c r="B23" s="2">
        <v>0.66176066170976799</v>
      </c>
      <c r="C23">
        <v>0.64649924414346904</v>
      </c>
      <c r="D23">
        <v>0.55141841975936801</v>
      </c>
      <c r="E23">
        <v>0.63023907987961103</v>
      </c>
      <c r="F23">
        <v>0.63503307232399997</v>
      </c>
      <c r="G23">
        <v>0.62427759913799297</v>
      </c>
      <c r="H23">
        <v>0.72854534683275696</v>
      </c>
      <c r="I23">
        <v>0.54492442996677604</v>
      </c>
      <c r="J23">
        <v>0.53643731866702105</v>
      </c>
      <c r="K23">
        <v>0.40313583985413498</v>
      </c>
      <c r="L23">
        <v>0.60299399775454099</v>
      </c>
      <c r="M23">
        <v>0.54957961208902295</v>
      </c>
      <c r="O23">
        <v>2015</v>
      </c>
      <c r="P23" s="3">
        <f t="shared" si="1"/>
        <v>0.17635230624011339</v>
      </c>
      <c r="Q23" s="3">
        <f t="shared" si="2"/>
        <v>3.3458440413309913E-3</v>
      </c>
      <c r="R23" s="3">
        <f t="shared" si="3"/>
        <v>0.14676575698285285</v>
      </c>
      <c r="S23" s="3">
        <f t="shared" si="4"/>
        <v>0.15548877424720578</v>
      </c>
      <c r="T23" s="3">
        <f t="shared" si="5"/>
        <v>0.13591841000984978</v>
      </c>
      <c r="U23" s="3">
        <f t="shared" si="6"/>
        <v>0.32564114608156985</v>
      </c>
      <c r="V23" s="3">
        <f t="shared" si="7"/>
        <v>-8.4704418065145604E-3</v>
      </c>
      <c r="W23" s="3">
        <f t="shared" si="8"/>
        <v>-2.3913356923933829E-2</v>
      </c>
      <c r="X23" s="3">
        <f t="shared" si="9"/>
        <v>-0.26646507441976663</v>
      </c>
      <c r="Y23" s="3">
        <f t="shared" si="10"/>
        <v>9.7191352245551962E-2</v>
      </c>
    </row>
    <row r="24" spans="1:25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25" x14ac:dyDescent="0.25">
      <c r="A25" t="s">
        <v>15</v>
      </c>
      <c r="B25" s="2">
        <v>0.96218496410883203</v>
      </c>
      <c r="C25" s="2">
        <v>0.70434068696278895</v>
      </c>
      <c r="D25" s="2">
        <v>0.91875408264033498</v>
      </c>
      <c r="E25" s="2">
        <v>0.92911535116712995</v>
      </c>
      <c r="F25" s="2">
        <v>0.953161391036905</v>
      </c>
      <c r="G25" s="2">
        <v>0.95337947054658201</v>
      </c>
      <c r="H25" s="2">
        <v>1.1797108695882701</v>
      </c>
      <c r="I25" s="2">
        <v>0.89789959898535998</v>
      </c>
      <c r="J25" s="2">
        <v>0.90136016889412096</v>
      </c>
      <c r="K25" s="2">
        <v>1.0239325410695601</v>
      </c>
      <c r="L25" s="2">
        <v>1.4254483612050399</v>
      </c>
      <c r="M25" s="2">
        <v>0.95060828588105195</v>
      </c>
      <c r="O25" t="s">
        <v>15</v>
      </c>
      <c r="P25">
        <f t="shared" ref="P25:Y25" si="11">(C25-$M25)/$M25</f>
        <v>-0.25906317310290944</v>
      </c>
      <c r="Q25">
        <f t="shared" si="11"/>
        <v>-3.3509284227618057E-2</v>
      </c>
      <c r="R25">
        <f t="shared" si="11"/>
        <v>-2.2609664814778788E-2</v>
      </c>
      <c r="S25">
        <f t="shared" si="11"/>
        <v>2.6857594171786113E-3</v>
      </c>
      <c r="T25">
        <f t="shared" si="11"/>
        <v>2.9151699040384877E-3</v>
      </c>
      <c r="U25">
        <f t="shared" si="11"/>
        <v>0.24100629787260805</v>
      </c>
      <c r="V25">
        <f t="shared" si="11"/>
        <v>-5.5447325337418023E-2</v>
      </c>
      <c r="W25">
        <f t="shared" si="11"/>
        <v>-5.1806951105298198E-2</v>
      </c>
      <c r="X25">
        <f t="shared" si="11"/>
        <v>7.7134037518460152E-2</v>
      </c>
      <c r="Y25">
        <f t="shared" si="11"/>
        <v>0.49951182035394537</v>
      </c>
    </row>
    <row r="26" spans="1:25" x14ac:dyDescent="0.25">
      <c r="A26" t="s">
        <v>0</v>
      </c>
      <c r="B26" s="2">
        <v>1.01746803806007</v>
      </c>
      <c r="C26" s="2">
        <v>0.81005340622676703</v>
      </c>
      <c r="D26" s="2">
        <v>0.949401341769465</v>
      </c>
      <c r="E26" s="2">
        <v>0.97125235449163905</v>
      </c>
      <c r="F26" s="2">
        <v>0.98421018499466195</v>
      </c>
      <c r="G26" s="2">
        <v>0.97979837156361205</v>
      </c>
      <c r="H26" s="2">
        <v>1.1764721875222299</v>
      </c>
      <c r="I26" s="2">
        <v>0.92889175105131605</v>
      </c>
      <c r="J26" s="2">
        <v>0.93521905975429598</v>
      </c>
      <c r="K26" s="2">
        <v>0.84482513279957105</v>
      </c>
      <c r="L26" s="2">
        <v>1.2098448403225499</v>
      </c>
      <c r="M26" s="2">
        <v>0.95514341999469499</v>
      </c>
      <c r="O26" t="s">
        <v>0</v>
      </c>
      <c r="P26">
        <f t="shared" ref="P26:X30" si="12">(C26-$M26)/$M26</f>
        <v>-0.15190390336221321</v>
      </c>
      <c r="Q26">
        <f t="shared" si="12"/>
        <v>-6.011744524463015E-3</v>
      </c>
      <c r="R26">
        <f t="shared" si="12"/>
        <v>1.6865461416290271E-2</v>
      </c>
      <c r="S26">
        <f t="shared" si="12"/>
        <v>3.0431832949368385E-2</v>
      </c>
      <c r="T26">
        <f t="shared" si="12"/>
        <v>2.5812826694711459E-2</v>
      </c>
      <c r="U26">
        <f t="shared" si="12"/>
        <v>0.23172307204792789</v>
      </c>
      <c r="V26">
        <f t="shared" si="12"/>
        <v>-2.7484531007421632E-2</v>
      </c>
      <c r="W26">
        <f t="shared" si="12"/>
        <v>-2.0860071716255629E-2</v>
      </c>
      <c r="X26">
        <f t="shared" si="12"/>
        <v>-0.11549918565709918</v>
      </c>
      <c r="Y26">
        <f t="shared" ref="Y26:Y30" si="13">(L26-$M26)/$M26</f>
        <v>0.2666630110159473</v>
      </c>
    </row>
    <row r="27" spans="1:25" x14ac:dyDescent="0.25">
      <c r="A27" t="s">
        <v>16</v>
      </c>
      <c r="B27" s="2">
        <v>1.07875279335653</v>
      </c>
      <c r="C27" s="2">
        <v>0.82955602240270798</v>
      </c>
      <c r="D27" s="2">
        <v>0.97565575585925601</v>
      </c>
      <c r="E27" s="2">
        <v>0.99573224132048199</v>
      </c>
      <c r="F27" s="2">
        <v>1.0125370826094899</v>
      </c>
      <c r="G27" s="2">
        <v>1.00978176298183</v>
      </c>
      <c r="H27" s="2">
        <v>1.2088473710941601</v>
      </c>
      <c r="I27" s="2">
        <v>0.95680252022268997</v>
      </c>
      <c r="J27" s="2">
        <v>0.96242523066756303</v>
      </c>
      <c r="K27" s="2">
        <v>0.94650081152992505</v>
      </c>
      <c r="L27" s="2">
        <v>1.32166514699721</v>
      </c>
      <c r="M27" s="2">
        <v>0.98346166894575104</v>
      </c>
      <c r="O27" t="s">
        <v>16</v>
      </c>
      <c r="P27">
        <f t="shared" si="12"/>
        <v>-0.15649379269456071</v>
      </c>
      <c r="Q27">
        <f t="shared" si="12"/>
        <v>-7.9371808103744362E-3</v>
      </c>
      <c r="R27">
        <f t="shared" si="12"/>
        <v>1.2476919805003411E-2</v>
      </c>
      <c r="S27">
        <f t="shared" si="12"/>
        <v>2.9564358817265431E-2</v>
      </c>
      <c r="T27">
        <f t="shared" si="12"/>
        <v>2.6762704503057538E-2</v>
      </c>
      <c r="U27">
        <f t="shared" si="12"/>
        <v>0.22917588886816248</v>
      </c>
      <c r="V27">
        <f t="shared" si="12"/>
        <v>-2.7107460885220966E-2</v>
      </c>
      <c r="W27">
        <f t="shared" si="12"/>
        <v>-2.1390196428030195E-2</v>
      </c>
      <c r="X27">
        <f t="shared" si="12"/>
        <v>-3.7582407716456517E-2</v>
      </c>
      <c r="Y27">
        <f t="shared" si="13"/>
        <v>0.3438908589228552</v>
      </c>
    </row>
    <row r="28" spans="1:25" x14ac:dyDescent="0.25">
      <c r="A28" t="s">
        <v>17</v>
      </c>
      <c r="B28" s="2">
        <v>0.84845509492120297</v>
      </c>
      <c r="C28" s="2">
        <v>0.58831989933134299</v>
      </c>
      <c r="D28" s="2">
        <v>0.85998766085002598</v>
      </c>
      <c r="E28" s="2">
        <v>0.86097275449897903</v>
      </c>
      <c r="F28" s="2">
        <v>0.89186166655504096</v>
      </c>
      <c r="G28" s="2">
        <v>0.89496880150731495</v>
      </c>
      <c r="H28" s="2">
        <v>1.1484711830861001</v>
      </c>
      <c r="I28" s="2">
        <v>0.83728592626157095</v>
      </c>
      <c r="J28" s="2">
        <v>0.83865407555954397</v>
      </c>
      <c r="K28" s="2">
        <v>1.1164434636098599</v>
      </c>
      <c r="L28" s="2">
        <v>1.54904682390349</v>
      </c>
      <c r="M28" s="2">
        <v>0.91573574957563297</v>
      </c>
      <c r="O28" t="s">
        <v>17</v>
      </c>
      <c r="P28">
        <f t="shared" si="12"/>
        <v>-0.3575440299191332</v>
      </c>
      <c r="Q28">
        <f t="shared" si="12"/>
        <v>-6.0877921115825802E-2</v>
      </c>
      <c r="R28">
        <f t="shared" si="12"/>
        <v>-5.9802181035339089E-2</v>
      </c>
      <c r="S28">
        <f t="shared" si="12"/>
        <v>-2.6070930431246853E-2</v>
      </c>
      <c r="T28">
        <f t="shared" si="12"/>
        <v>-2.2677882869530618E-2</v>
      </c>
      <c r="U28">
        <f t="shared" si="12"/>
        <v>0.25415130251092694</v>
      </c>
      <c r="V28">
        <f t="shared" si="12"/>
        <v>-8.5668625856768141E-2</v>
      </c>
      <c r="W28">
        <f t="shared" si="12"/>
        <v>-8.4174582079830265E-2</v>
      </c>
      <c r="X28">
        <f t="shared" si="12"/>
        <v>0.21917645360819232</v>
      </c>
      <c r="Y28">
        <f t="shared" si="13"/>
        <v>0.69158714686124667</v>
      </c>
    </row>
    <row r="29" spans="1:25" x14ac:dyDescent="0.25">
      <c r="A29" t="s">
        <v>2</v>
      </c>
      <c r="B29" s="2">
        <v>1.6534042520468399</v>
      </c>
      <c r="C29" s="2">
        <v>0.95806139114843203</v>
      </c>
      <c r="D29" s="2">
        <v>1.2123810922928699</v>
      </c>
      <c r="E29" s="2">
        <v>1.21292706274552</v>
      </c>
      <c r="F29" s="2">
        <v>1.2370870086755501</v>
      </c>
      <c r="G29" s="2">
        <v>1.2413755238797299</v>
      </c>
      <c r="H29" s="2">
        <v>1.55710654109054</v>
      </c>
      <c r="I29" s="2">
        <v>1.18403560353079</v>
      </c>
      <c r="J29" s="2">
        <v>1.1866768505065499</v>
      </c>
      <c r="K29" s="2">
        <v>1.8974126323470299</v>
      </c>
      <c r="L29" s="2">
        <v>2.3233113095868401</v>
      </c>
      <c r="M29" s="2">
        <v>1.30133253828811</v>
      </c>
      <c r="O29" t="s">
        <v>2</v>
      </c>
      <c r="P29">
        <f t="shared" si="12"/>
        <v>-0.26378434184950739</v>
      </c>
      <c r="Q29">
        <f t="shared" si="12"/>
        <v>-6.8354124236572777E-2</v>
      </c>
      <c r="R29">
        <f t="shared" si="12"/>
        <v>-6.7934577013563771E-2</v>
      </c>
      <c r="S29">
        <f t="shared" si="12"/>
        <v>-4.9369033450185049E-2</v>
      </c>
      <c r="T29">
        <f t="shared" si="12"/>
        <v>-4.6073553564758271E-2</v>
      </c>
      <c r="U29">
        <f t="shared" si="12"/>
        <v>0.19654776567632604</v>
      </c>
      <c r="V29">
        <f t="shared" si="12"/>
        <v>-9.0136019277304025E-2</v>
      </c>
      <c r="W29">
        <f t="shared" si="12"/>
        <v>-8.81063712833835E-2</v>
      </c>
      <c r="X29">
        <f t="shared" si="12"/>
        <v>0.45805363081373296</v>
      </c>
      <c r="Y29">
        <f t="shared" si="13"/>
        <v>0.78533252741311832</v>
      </c>
    </row>
    <row r="30" spans="1:25" x14ac:dyDescent="0.25">
      <c r="A30" t="s">
        <v>3</v>
      </c>
      <c r="B30" s="2">
        <v>0.51208224004968395</v>
      </c>
      <c r="C30" s="2">
        <v>0.47884194217272402</v>
      </c>
      <c r="D30" s="2">
        <v>0.63318994493324099</v>
      </c>
      <c r="E30" s="2">
        <v>0.65255514420133798</v>
      </c>
      <c r="F30" s="2">
        <v>0.67144156018401502</v>
      </c>
      <c r="G30" s="2">
        <v>0.67102015896170597</v>
      </c>
      <c r="H30" s="2">
        <v>0.85364397274150206</v>
      </c>
      <c r="I30" s="2">
        <v>0.61713440551206</v>
      </c>
      <c r="J30" s="2">
        <v>0.62235459037135998</v>
      </c>
      <c r="K30" s="2">
        <v>0.46391871471568802</v>
      </c>
      <c r="L30" s="2">
        <v>0.76047029580053604</v>
      </c>
      <c r="M30" s="2">
        <v>0.63092169664846098</v>
      </c>
      <c r="O30" t="s">
        <v>3</v>
      </c>
      <c r="P30">
        <f t="shared" si="12"/>
        <v>-0.24104378607298593</v>
      </c>
      <c r="Q30">
        <f t="shared" si="12"/>
        <v>3.5951343832828046E-3</v>
      </c>
      <c r="R30">
        <f t="shared" si="12"/>
        <v>3.428864099585846E-2</v>
      </c>
      <c r="S30">
        <f t="shared" si="12"/>
        <v>6.422328436444788E-2</v>
      </c>
      <c r="T30">
        <f t="shared" si="12"/>
        <v>6.3555370700125374E-2</v>
      </c>
      <c r="U30">
        <f t="shared" si="12"/>
        <v>0.35301096360478817</v>
      </c>
      <c r="V30">
        <f t="shared" si="12"/>
        <v>-2.1852618493928621E-2</v>
      </c>
      <c r="W30">
        <f t="shared" si="12"/>
        <v>-1.3578715588020819E-2</v>
      </c>
      <c r="X30">
        <f t="shared" si="12"/>
        <v>-0.2646968440297976</v>
      </c>
      <c r="Y30">
        <f t="shared" si="13"/>
        <v>0.2053322937541287</v>
      </c>
    </row>
  </sheetData>
  <conditionalFormatting sqref="B3:M23">
    <cfRule type="colorScale" priority="2">
      <colorScale>
        <cfvo type="num" val="0.75"/>
        <cfvo type="num" val="1.25"/>
        <color theme="5"/>
        <color theme="4"/>
      </colorScale>
    </cfRule>
  </conditionalFormatting>
  <conditionalFormatting sqref="P3:Y23">
    <cfRule type="colorScale" priority="1">
      <colorScale>
        <cfvo type="num" val="-0.1"/>
        <cfvo type="num" val="0.1"/>
        <color theme="5"/>
        <color theme="4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644C-C729-4B7C-9893-7D9889CB8B65}">
  <dimension ref="A1:M8"/>
  <sheetViews>
    <sheetView tabSelected="1" workbookViewId="0">
      <selection activeCell="C8" sqref="C8:J8"/>
    </sheetView>
  </sheetViews>
  <sheetFormatPr defaultRowHeight="15" x14ac:dyDescent="0.25"/>
  <sheetData>
    <row r="1" spans="1:13" x14ac:dyDescent="0.25">
      <c r="B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14</v>
      </c>
      <c r="I1" s="1" t="s">
        <v>13</v>
      </c>
      <c r="J1" s="1" t="s">
        <v>18</v>
      </c>
      <c r="K1" s="1" t="s">
        <v>6</v>
      </c>
      <c r="L1" s="1" t="s">
        <v>7</v>
      </c>
      <c r="M1" s="1" t="s">
        <v>4</v>
      </c>
    </row>
    <row r="2" spans="1:13" x14ac:dyDescent="0.25">
      <c r="A2" t="s">
        <v>15</v>
      </c>
      <c r="B2" s="2">
        <v>0.96218496410883203</v>
      </c>
      <c r="C2" s="2">
        <v>0.70434068696278895</v>
      </c>
      <c r="D2" s="2">
        <v>0.91875408264033498</v>
      </c>
      <c r="E2" s="2">
        <v>0.92911535116712995</v>
      </c>
      <c r="F2" s="2">
        <v>0.953161391036905</v>
      </c>
      <c r="G2" s="2">
        <v>0.95337947054658201</v>
      </c>
      <c r="H2" s="2">
        <v>1.1797108695882701</v>
      </c>
      <c r="I2" s="2">
        <v>0.89789959898535998</v>
      </c>
      <c r="J2" s="2">
        <v>0.90136016889412096</v>
      </c>
      <c r="K2" s="2">
        <v>1.0239325410695601</v>
      </c>
      <c r="L2" s="2">
        <v>1.4254483612050399</v>
      </c>
      <c r="M2" s="2">
        <v>0.95060828588105195</v>
      </c>
    </row>
    <row r="3" spans="1:13" x14ac:dyDescent="0.25">
      <c r="A3" t="s">
        <v>2</v>
      </c>
      <c r="B3" s="2">
        <v>1.6534042520468399</v>
      </c>
      <c r="C3" s="2">
        <v>0.95806139114843203</v>
      </c>
      <c r="D3" s="2">
        <v>1.2123810922928699</v>
      </c>
      <c r="E3" s="2">
        <v>1.21292706274552</v>
      </c>
      <c r="F3" s="2">
        <v>1.2370870086755501</v>
      </c>
      <c r="G3" s="2">
        <v>1.2413755238797299</v>
      </c>
      <c r="H3" s="2">
        <v>1.55710654109054</v>
      </c>
      <c r="I3" s="2">
        <v>1.18403560353079</v>
      </c>
      <c r="J3" s="2">
        <v>1.1866768505065499</v>
      </c>
      <c r="K3" s="2">
        <v>1.8974126323470299</v>
      </c>
      <c r="L3" s="2">
        <v>2.3233113095868401</v>
      </c>
      <c r="M3" s="2">
        <v>1.30133253828811</v>
      </c>
    </row>
    <row r="4" spans="1:13" x14ac:dyDescent="0.25">
      <c r="A4" t="s">
        <v>3</v>
      </c>
      <c r="B4" s="2">
        <v>0.51208224004968395</v>
      </c>
      <c r="C4" s="2">
        <v>0.47884194217272402</v>
      </c>
      <c r="D4" s="2">
        <v>0.63318994493324099</v>
      </c>
      <c r="E4" s="2">
        <v>0.65255514420133798</v>
      </c>
      <c r="F4" s="2">
        <v>0.67144156018401502</v>
      </c>
      <c r="G4" s="2">
        <v>0.67102015896170597</v>
      </c>
      <c r="H4" s="2">
        <v>0.85364397274150206</v>
      </c>
      <c r="I4" s="2">
        <v>0.61713440551206</v>
      </c>
      <c r="J4" s="2">
        <v>0.62235459037135998</v>
      </c>
      <c r="K4" s="2">
        <v>0.46391871471568802</v>
      </c>
      <c r="L4" s="2">
        <v>0.76047029580053604</v>
      </c>
      <c r="M4" s="2">
        <v>0.63092169664846098</v>
      </c>
    </row>
    <row r="6" spans="1:13" x14ac:dyDescent="0.25">
      <c r="B6">
        <f>ROUND(((B2/$M$2)-1)*100,2)</f>
        <v>1.22</v>
      </c>
      <c r="C6">
        <f t="shared" ref="C6:M6" si="0">ROUND(((C2/$M$2)-1)*100,2)</f>
        <v>-25.91</v>
      </c>
      <c r="D6">
        <f t="shared" si="0"/>
        <v>-3.35</v>
      </c>
      <c r="E6">
        <f t="shared" si="0"/>
        <v>-2.2599999999999998</v>
      </c>
      <c r="F6">
        <f t="shared" si="0"/>
        <v>0.27</v>
      </c>
      <c r="G6">
        <f t="shared" si="0"/>
        <v>0.28999999999999998</v>
      </c>
      <c r="H6">
        <f t="shared" si="0"/>
        <v>24.1</v>
      </c>
      <c r="I6">
        <f t="shared" si="0"/>
        <v>-5.54</v>
      </c>
      <c r="J6">
        <f t="shared" si="0"/>
        <v>-5.18</v>
      </c>
      <c r="K6">
        <f t="shared" si="0"/>
        <v>7.71</v>
      </c>
      <c r="L6">
        <f t="shared" si="0"/>
        <v>49.95</v>
      </c>
      <c r="M6">
        <f t="shared" si="0"/>
        <v>0</v>
      </c>
    </row>
    <row r="7" spans="1:13" x14ac:dyDescent="0.25">
      <c r="A7" t="s">
        <v>19</v>
      </c>
      <c r="B7">
        <f>ROUND(((B3/$M$3)-1)*100,2)</f>
        <v>27.05</v>
      </c>
      <c r="C7">
        <f>ROUND(((C3/$M$3)-1)*100,2)</f>
        <v>-26.38</v>
      </c>
      <c r="D7">
        <f t="shared" ref="C7:M7" si="1">ROUND(((D3/$M$3)-1)*100,2)</f>
        <v>-6.84</v>
      </c>
      <c r="E7">
        <f t="shared" si="1"/>
        <v>-6.79</v>
      </c>
      <c r="F7">
        <f t="shared" si="1"/>
        <v>-4.9400000000000004</v>
      </c>
      <c r="G7">
        <f t="shared" si="1"/>
        <v>-4.6100000000000003</v>
      </c>
      <c r="H7">
        <f t="shared" si="1"/>
        <v>19.649999999999999</v>
      </c>
      <c r="I7">
        <f t="shared" si="1"/>
        <v>-9.01</v>
      </c>
      <c r="J7">
        <f t="shared" si="1"/>
        <v>-8.81</v>
      </c>
      <c r="K7">
        <f t="shared" si="1"/>
        <v>45.81</v>
      </c>
      <c r="L7">
        <f t="shared" si="1"/>
        <v>78.53</v>
      </c>
      <c r="M7">
        <f t="shared" si="1"/>
        <v>0</v>
      </c>
    </row>
    <row r="8" spans="1:13" x14ac:dyDescent="0.25">
      <c r="B8">
        <f>ROUND(((B4/$M$4)-1)*100,2)</f>
        <v>-18.84</v>
      </c>
      <c r="C8">
        <f t="shared" ref="C8:M8" si="2">ROUND(((C4/$M$4)-1)*100,2)</f>
        <v>-24.1</v>
      </c>
      <c r="D8">
        <f t="shared" si="2"/>
        <v>0.36</v>
      </c>
      <c r="E8">
        <f t="shared" si="2"/>
        <v>3.43</v>
      </c>
      <c r="F8">
        <f t="shared" si="2"/>
        <v>6.42</v>
      </c>
      <c r="G8">
        <f t="shared" si="2"/>
        <v>6.36</v>
      </c>
      <c r="H8">
        <f t="shared" si="2"/>
        <v>35.299999999999997</v>
      </c>
      <c r="I8">
        <f t="shared" si="2"/>
        <v>-2.19</v>
      </c>
      <c r="J8">
        <f t="shared" si="2"/>
        <v>-1.36</v>
      </c>
      <c r="K8">
        <f t="shared" si="2"/>
        <v>-26.47</v>
      </c>
      <c r="L8">
        <f t="shared" si="2"/>
        <v>20.53</v>
      </c>
      <c r="M8">
        <f t="shared" si="2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C2411F-D0BE-4A2C-AE68-7FF71E2051C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CalSim flow actions</vt:lpstr>
      <vt:lpstr>Sheet1</vt:lpstr>
    </vt:vector>
  </TitlesOfParts>
  <Company>Department of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wsmith</dc:creator>
  <cp:lastModifiedBy>Mahardja, Brian</cp:lastModifiedBy>
  <dcterms:created xsi:type="dcterms:W3CDTF">2022-02-23T23:09:31Z</dcterms:created>
  <dcterms:modified xsi:type="dcterms:W3CDTF">2025-09-17T19:41:02Z</dcterms:modified>
</cp:coreProperties>
</file>